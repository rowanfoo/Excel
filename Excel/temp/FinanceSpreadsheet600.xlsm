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drawings/drawing2.xml" ContentType="application/vnd.openxmlformats-officedocument.drawing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filterPrivacy="1" codeName="ThisWorkbook"/>
  <bookViews>
    <workbookView xWindow="0" yWindow="0" windowWidth="1890" windowHeight="9810"/>
  </bookViews>
  <sheets>
    <sheet name="Yahoo Share Data" sheetId="1" r:id="rId1"/>
    <sheet name="Yahoo Tags" sheetId="2" r:id="rId2"/>
    <sheet name="Sheet1" sheetId="3" r:id="rId3"/>
    <sheet name="Sheet2" sheetId="4" r:id="rId4"/>
  </sheets>
  <definedNames>
    <definedName name="ExternalData_1" localSheetId="0">'Yahoo Share Data'!$C$7:$C$30</definedName>
    <definedName name="ExternalData_10" localSheetId="0">'Yahoo Share Data'!$C$7:$C$30</definedName>
    <definedName name="ExternalData_100" localSheetId="2">Sheet1!$A$5:$A$28</definedName>
    <definedName name="ExternalData_100" localSheetId="0">'Yahoo Share Data'!$C$7:$C$106</definedName>
    <definedName name="ExternalData_101" localSheetId="2">Sheet1!$A$5:$A$26</definedName>
    <definedName name="ExternalData_101" localSheetId="0">'Yahoo Share Data'!$C$7:$C$106</definedName>
    <definedName name="ExternalData_102" localSheetId="2">Sheet1!$A$5:$A$26</definedName>
    <definedName name="ExternalData_102" localSheetId="0">'Yahoo Share Data'!$C$7:$C$225</definedName>
    <definedName name="ExternalData_103" localSheetId="2">Sheet1!$A$5:$A$26</definedName>
    <definedName name="ExternalData_103" localSheetId="0">'Yahoo Share Data'!$C$7:$C$225</definedName>
    <definedName name="ExternalData_104" localSheetId="2">Sheet1!$A$5:$A$26</definedName>
    <definedName name="ExternalData_105" localSheetId="2">Sheet1!$A$5:$A$26</definedName>
    <definedName name="ExternalData_106" localSheetId="2">Sheet1!$A$5:$A$26</definedName>
    <definedName name="ExternalData_107" localSheetId="2">Sheet1!$A$5:$A$26</definedName>
    <definedName name="ExternalData_108" localSheetId="2">Sheet1!$A$5:$A$26</definedName>
    <definedName name="ExternalData_109" localSheetId="2">Sheet1!$A$5:$A$52</definedName>
    <definedName name="ExternalData_11" localSheetId="0">'Yahoo Share Data'!$C$7:$C$30</definedName>
    <definedName name="ExternalData_110" localSheetId="2">Sheet1!$A$5:$A$28</definedName>
    <definedName name="ExternalData_111" localSheetId="2">Sheet1!$A$5:$A$26</definedName>
    <definedName name="ExternalData_112" localSheetId="2">Sheet1!$A$5:$A$25</definedName>
    <definedName name="ExternalData_113" localSheetId="2">Sheet1!$A$5:$A$26</definedName>
    <definedName name="ExternalData_114" localSheetId="2">Sheet1!$A$5:$A$52</definedName>
    <definedName name="ExternalData_115" localSheetId="2">Sheet1!$A$5:$A$26</definedName>
    <definedName name="ExternalData_116" localSheetId="2">Sheet1!$A$5:$A$26</definedName>
    <definedName name="ExternalData_117" localSheetId="2">Sheet1!$A$5:$A$26</definedName>
    <definedName name="ExternalData_118" localSheetId="2">Sheet1!$A$5:$A$26</definedName>
    <definedName name="ExternalData_119" localSheetId="2">Sheet1!$A$5:$A$27</definedName>
    <definedName name="ExternalData_12" localSheetId="0">'Yahoo Share Data'!$C$7:$C$30</definedName>
    <definedName name="ExternalData_120" localSheetId="2">Sheet1!$A$5:$A$26</definedName>
    <definedName name="ExternalData_121" localSheetId="2">Sheet1!$A$5:$A$26</definedName>
    <definedName name="ExternalData_122" localSheetId="2">Sheet1!$A$5:$A$26</definedName>
    <definedName name="ExternalData_123" localSheetId="2">Sheet1!$A$5:$A$26</definedName>
    <definedName name="ExternalData_124" localSheetId="2">Sheet1!$A$5:$A$26</definedName>
    <definedName name="ExternalData_125" localSheetId="2">Sheet1!$A$5:$A$26</definedName>
    <definedName name="ExternalData_126" localSheetId="2">Sheet1!$A$5:$A$28</definedName>
    <definedName name="ExternalData_127" localSheetId="2">Sheet1!$A$5:$A$28</definedName>
    <definedName name="ExternalData_128" localSheetId="2">Sheet1!$A$5:$A$26</definedName>
    <definedName name="ExternalData_129" localSheetId="2">Sheet1!$A$5:$A$26</definedName>
    <definedName name="ExternalData_13" localSheetId="0">'Yahoo Share Data'!$C$7:$C$27</definedName>
    <definedName name="ExternalData_130" localSheetId="2">Sheet1!$A$5:$A$26</definedName>
    <definedName name="ExternalData_131" localSheetId="2">Sheet1!$A$5:$A$52</definedName>
    <definedName name="ExternalData_132" localSheetId="2">Sheet1!$A$5:$A$26</definedName>
    <definedName name="ExternalData_133" localSheetId="2">Sheet1!$A$5:$A$26</definedName>
    <definedName name="ExternalData_134" localSheetId="2">Sheet1!$A$5:$A$27</definedName>
    <definedName name="ExternalData_135" localSheetId="2">Sheet1!$A$5:$A$28</definedName>
    <definedName name="ExternalData_136" localSheetId="2">Sheet1!$A$5:$A$26</definedName>
    <definedName name="ExternalData_137" localSheetId="2">Sheet1!$A$5:$A$26</definedName>
    <definedName name="ExternalData_138" localSheetId="2">Sheet1!$A$5:$A$26</definedName>
    <definedName name="ExternalData_139" localSheetId="2">Sheet1!$A$5:$A$26</definedName>
    <definedName name="ExternalData_14" localSheetId="0">'Yahoo Share Data'!$C$7:$C$28</definedName>
    <definedName name="ExternalData_140" localSheetId="2">Sheet1!$A$5:$A$52</definedName>
    <definedName name="ExternalData_141" localSheetId="2">Sheet1!$A$5:$A$26</definedName>
    <definedName name="ExternalData_142" localSheetId="2">Sheet1!$A$5:$A$28</definedName>
    <definedName name="ExternalData_143" localSheetId="2">Sheet1!$A$5:$A$52</definedName>
    <definedName name="ExternalData_144" localSheetId="2">Sheet1!$A$5:$A$26</definedName>
    <definedName name="ExternalData_145" localSheetId="2">Sheet1!$A$5:$A$26</definedName>
    <definedName name="ExternalData_146" localSheetId="2">Sheet1!$A$5:$A$26</definedName>
    <definedName name="ExternalData_147" localSheetId="2">Sheet1!$A$5:$A$28</definedName>
    <definedName name="ExternalData_148" localSheetId="2">Sheet1!$A$5:$A$26</definedName>
    <definedName name="ExternalData_149" localSheetId="2">Sheet1!$A$5:$A$26</definedName>
    <definedName name="ExternalData_15" localSheetId="0">'Yahoo Share Data'!$C$7:$C$28</definedName>
    <definedName name="ExternalData_150" localSheetId="2">Sheet1!$A$5:$A$26</definedName>
    <definedName name="ExternalData_151" localSheetId="2">Sheet1!$A$5:$A$26</definedName>
    <definedName name="ExternalData_152" localSheetId="2">Sheet1!$A$5:$A$26</definedName>
    <definedName name="ExternalData_153" localSheetId="2">Sheet1!$A$5:$A$26</definedName>
    <definedName name="ExternalData_16" localSheetId="2">Sheet1!$A$5:$A$26</definedName>
    <definedName name="ExternalData_16" localSheetId="0">'Yahoo Share Data'!$C$7:$C$28</definedName>
    <definedName name="ExternalData_17" localSheetId="0">'Yahoo Share Data'!$C$7:$C$28</definedName>
    <definedName name="ExternalData_18" localSheetId="0">'Yahoo Share Data'!$C$7:$C$28</definedName>
    <definedName name="ExternalData_19" localSheetId="0">'Yahoo Share Data'!$C$7:$C$28</definedName>
    <definedName name="ExternalData_2" localSheetId="0">'Yahoo Share Data'!$C$7:$C$30</definedName>
    <definedName name="ExternalData_20" localSheetId="0">'Yahoo Share Data'!$C$7:$C$28</definedName>
    <definedName name="ExternalData_21" localSheetId="0">'Yahoo Share Data'!$C$7:$C$28</definedName>
    <definedName name="ExternalData_22" localSheetId="0">'Yahoo Share Data'!$C$7:$C$28</definedName>
    <definedName name="ExternalData_23" localSheetId="0">'Yahoo Share Data'!$C$7:$C$28</definedName>
    <definedName name="ExternalData_24" localSheetId="0">'Yahoo Share Data'!$C$7:$C$28</definedName>
    <definedName name="ExternalData_25" localSheetId="0">'Yahoo Share Data'!$C$7:$C$28</definedName>
    <definedName name="ExternalData_26" localSheetId="0">'Yahoo Share Data'!$C$7:$C$28</definedName>
    <definedName name="ExternalData_27" localSheetId="0">'Yahoo Share Data'!$C$7:$C$28</definedName>
    <definedName name="ExternalData_28" localSheetId="0">'Yahoo Share Data'!$C$7:$C$28</definedName>
    <definedName name="ExternalData_29" localSheetId="0">'Yahoo Share Data'!$C$7:$C$28</definedName>
    <definedName name="ExternalData_3" localSheetId="0">'Yahoo Share Data'!$C$7:$C$30</definedName>
    <definedName name="ExternalData_30" localSheetId="0">'Yahoo Share Data'!$C$7:$C$28</definedName>
    <definedName name="ExternalData_31" localSheetId="0">'Yahoo Share Data'!$C$7:$C$28</definedName>
    <definedName name="ExternalData_32" localSheetId="0">'Yahoo Share Data'!$C$7:$C$28</definedName>
    <definedName name="ExternalData_33" localSheetId="0">'Yahoo Share Data'!$C$7:$C$28</definedName>
    <definedName name="ExternalData_34" localSheetId="0">'Yahoo Share Data'!$C$7:$C$28</definedName>
    <definedName name="ExternalData_35" localSheetId="0">'Yahoo Share Data'!$C$7:$C$28</definedName>
    <definedName name="ExternalData_36" localSheetId="0">'Yahoo Share Data'!$C$7:$C$28</definedName>
    <definedName name="ExternalData_37" localSheetId="0">'Yahoo Share Data'!$C$7:$C$28</definedName>
    <definedName name="ExternalData_38" localSheetId="0">'Yahoo Share Data'!$C$7:$C$28</definedName>
    <definedName name="ExternalData_39" localSheetId="0">'Yahoo Share Data'!$C$7:$C$28</definedName>
    <definedName name="ExternalData_4" localSheetId="0">'Yahoo Share Data'!$C$7:$C$30</definedName>
    <definedName name="ExternalData_40" localSheetId="0">'Yahoo Share Data'!$C$7:$C$28</definedName>
    <definedName name="ExternalData_41" localSheetId="0">'Yahoo Share Data'!$C$7:$C$28</definedName>
    <definedName name="ExternalData_42" localSheetId="0">'Yahoo Share Data'!$C$7:$C$28</definedName>
    <definedName name="ExternalData_43" localSheetId="0">'Yahoo Share Data'!$C$7:$C$28</definedName>
    <definedName name="ExternalData_44" localSheetId="0">'Yahoo Share Data'!$C$7:$C$28</definedName>
    <definedName name="ExternalData_45" localSheetId="0">'Yahoo Share Data'!$C$7:$C$28</definedName>
    <definedName name="ExternalData_46" localSheetId="0">'Yahoo Share Data'!$C$7:$C$28</definedName>
    <definedName name="ExternalData_47" localSheetId="0">'Yahoo Share Data'!$C$7:$C$28</definedName>
    <definedName name="ExternalData_48" localSheetId="0">'Yahoo Share Data'!$C$7:$C$28</definedName>
    <definedName name="ExternalData_49" localSheetId="0">'Yahoo Share Data'!$C$7:$C$28</definedName>
    <definedName name="ExternalData_5" localSheetId="0">'Yahoo Share Data'!$C$7:$C$30</definedName>
    <definedName name="ExternalData_50" localSheetId="0">'Yahoo Share Data'!$C$7:$C$28</definedName>
    <definedName name="ExternalData_51" localSheetId="0">'Yahoo Share Data'!$C$7:$C$28</definedName>
    <definedName name="ExternalData_52" localSheetId="0">'Yahoo Share Data'!$C$7:$C$28</definedName>
    <definedName name="ExternalData_53" localSheetId="0">'Yahoo Share Data'!$C$7:$C$28</definedName>
    <definedName name="ExternalData_54" localSheetId="0">'Yahoo Share Data'!$C$7:$C$28</definedName>
    <definedName name="ExternalData_55" localSheetId="0">'Yahoo Share Data'!$C$7:$C$28</definedName>
    <definedName name="ExternalData_56" localSheetId="0">'Yahoo Share Data'!$C$7:$C$28</definedName>
    <definedName name="ExternalData_57" localSheetId="0">'Yahoo Share Data'!$C$7:$C$28</definedName>
    <definedName name="ExternalData_58" localSheetId="0">'Yahoo Share Data'!$C$7:$C$28</definedName>
    <definedName name="ExternalData_59" localSheetId="0">'Yahoo Share Data'!$C$7:$C$28</definedName>
    <definedName name="ExternalData_6" localSheetId="0">'Yahoo Share Data'!$C$7:$C$30</definedName>
    <definedName name="ExternalData_60" localSheetId="0">'Yahoo Share Data'!$C$7:$C$28</definedName>
    <definedName name="ExternalData_61" localSheetId="0">'Yahoo Share Data'!$C$7:$C$28</definedName>
    <definedName name="ExternalData_62" localSheetId="0">'Yahoo Share Data'!$C$7:$C$28</definedName>
    <definedName name="ExternalData_63" localSheetId="0">'Yahoo Share Data'!$C$7:$C$28</definedName>
    <definedName name="ExternalData_64" localSheetId="0">'Yahoo Share Data'!$C$7:$C$28</definedName>
    <definedName name="ExternalData_65" localSheetId="0">'Yahoo Share Data'!$C$7:$C$28</definedName>
    <definedName name="ExternalData_66" localSheetId="0">'Yahoo Share Data'!$C$7:$C$28</definedName>
    <definedName name="ExternalData_67" localSheetId="0">'Yahoo Share Data'!$C$7:$C$28</definedName>
    <definedName name="ExternalData_68" localSheetId="0">'Yahoo Share Data'!$C$7:$C$28</definedName>
    <definedName name="ExternalData_69" localSheetId="0">'Yahoo Share Data'!$C$7:$C$28</definedName>
    <definedName name="ExternalData_7" localSheetId="0">'Yahoo Share Data'!$C$7:$C$30</definedName>
    <definedName name="ExternalData_70" localSheetId="0">'Yahoo Share Data'!$C$7:$C$28</definedName>
    <definedName name="ExternalData_71" localSheetId="0">'Yahoo Share Data'!$C$7:$C$28</definedName>
    <definedName name="ExternalData_72" localSheetId="0">'Yahoo Share Data'!$C$7:$C$28</definedName>
    <definedName name="ExternalData_73" localSheetId="2">Sheet1!$A$5:$A$26</definedName>
    <definedName name="ExternalData_73" localSheetId="0">'Yahoo Share Data'!$C$7:$C$28</definedName>
    <definedName name="ExternalData_74" localSheetId="2">Sheet1!$A$5:$A$26</definedName>
    <definedName name="ExternalData_74" localSheetId="0">'Yahoo Share Data'!$C$7:$C$29</definedName>
    <definedName name="ExternalData_75" localSheetId="2">Sheet1!$A$5:$A$26</definedName>
    <definedName name="ExternalData_75" localSheetId="0">'Yahoo Share Data'!$C$7:$C$29</definedName>
    <definedName name="ExternalData_76" localSheetId="2">Sheet1!$A$5:$A$26</definedName>
    <definedName name="ExternalData_76" localSheetId="0">'Yahoo Share Data'!$C$7:$C$56</definedName>
    <definedName name="ExternalData_77" localSheetId="2">Sheet1!$A$5:$A$28</definedName>
    <definedName name="ExternalData_77" localSheetId="0">'Yahoo Share Data'!$C$7:$C$56</definedName>
    <definedName name="ExternalData_78" localSheetId="2">Sheet1!$A$5:$A$26</definedName>
    <definedName name="ExternalData_78" localSheetId="0">'Yahoo Share Data'!$C$7:$C$56</definedName>
    <definedName name="ExternalData_79" localSheetId="2">Sheet1!$A$5:$A$26</definedName>
    <definedName name="ExternalData_79" localSheetId="0">'Yahoo Share Data'!$C$7:$C$56</definedName>
    <definedName name="ExternalData_8" localSheetId="0">'Yahoo Share Data'!$C$7:$C$30</definedName>
    <definedName name="ExternalData_80" localSheetId="2">Sheet1!$A$5:$A$26</definedName>
    <definedName name="ExternalData_80" localSheetId="0">'Yahoo Share Data'!$C$7:$C$56</definedName>
    <definedName name="ExternalData_81" localSheetId="2">Sheet1!$A$5:$A$52</definedName>
    <definedName name="ExternalData_81" localSheetId="0">'Yahoo Share Data'!$C$7:$C$56</definedName>
    <definedName name="ExternalData_82" localSheetId="2">Sheet1!$A$5:$A$26</definedName>
    <definedName name="ExternalData_82" localSheetId="0">'Yahoo Share Data'!$C$7:$C$56</definedName>
    <definedName name="ExternalData_83" localSheetId="2">Sheet1!$A$5:$A$26</definedName>
    <definedName name="ExternalData_83" localSheetId="0">'Yahoo Share Data'!$C$7:$C$106</definedName>
    <definedName name="ExternalData_84" localSheetId="2">Sheet1!$A$5:$A$28</definedName>
    <definedName name="ExternalData_84" localSheetId="0">'Yahoo Share Data'!$C$7:$C$106</definedName>
    <definedName name="ExternalData_85" localSheetId="2">Sheet1!$A$5:$A$26</definedName>
    <definedName name="ExternalData_85" localSheetId="0">'Yahoo Share Data'!$C$7:$C$106</definedName>
    <definedName name="ExternalData_86" localSheetId="2">Sheet1!$A$5:$A$28</definedName>
    <definedName name="ExternalData_86" localSheetId="0">'Yahoo Share Data'!$C$7:$C$106</definedName>
    <definedName name="ExternalData_87" localSheetId="2">Sheet1!$A$5:$A$26</definedName>
    <definedName name="ExternalData_87" localSheetId="0">'Yahoo Share Data'!$C$7:$C$106</definedName>
    <definedName name="ExternalData_88" localSheetId="2">Sheet1!$A$5:$A$26</definedName>
    <definedName name="ExternalData_88" localSheetId="0">'Yahoo Share Data'!$C$7:$C$106</definedName>
    <definedName name="ExternalData_89" localSheetId="2">Sheet1!$A$5:$A$26</definedName>
    <definedName name="ExternalData_89" localSheetId="0">'Yahoo Share Data'!$C$7:$C$106</definedName>
    <definedName name="ExternalData_9" localSheetId="0">'Yahoo Share Data'!$C$7:$C$30</definedName>
    <definedName name="ExternalData_90" localSheetId="2">Sheet1!$A$5:$A$28</definedName>
    <definedName name="ExternalData_90" localSheetId="0">'Yahoo Share Data'!$C$7:$C$106</definedName>
    <definedName name="ExternalData_91" localSheetId="2">Sheet1!$A$5:$A$52</definedName>
    <definedName name="ExternalData_91" localSheetId="0">'Yahoo Share Data'!$C$7:$C$106</definedName>
    <definedName name="ExternalData_92" localSheetId="2">Sheet1!$A$5:$A$26</definedName>
    <definedName name="ExternalData_92" localSheetId="0">'Yahoo Share Data'!$C$7:$C$106</definedName>
    <definedName name="ExternalData_93" localSheetId="2">Sheet1!$A$5:$A$26</definedName>
    <definedName name="ExternalData_93" localSheetId="0">'Yahoo Share Data'!$C$7:$C$106</definedName>
    <definedName name="ExternalData_94" localSheetId="2">Sheet1!$A$5:$A$26</definedName>
    <definedName name="ExternalData_94" localSheetId="0">'Yahoo Share Data'!$C$7:$C$106</definedName>
    <definedName name="ExternalData_95" localSheetId="2">Sheet1!$A$5:$A$26</definedName>
    <definedName name="ExternalData_95" localSheetId="0">'Yahoo Share Data'!$C$7:$C$106</definedName>
    <definedName name="ExternalData_96" localSheetId="2">Sheet1!$A$5:$A$26</definedName>
    <definedName name="ExternalData_96" localSheetId="0">'Yahoo Share Data'!$C$7:$C$106</definedName>
    <definedName name="ExternalData_97" localSheetId="2">Sheet1!$A$5:$A$28</definedName>
    <definedName name="ExternalData_97" localSheetId="0">'Yahoo Share Data'!$C$7:$C$106</definedName>
    <definedName name="ExternalData_98" localSheetId="2">Sheet1!$A$5:$A$26</definedName>
    <definedName name="ExternalData_98" localSheetId="0">'Yahoo Share Data'!$C$7:$C$106</definedName>
    <definedName name="ExternalData_99" localSheetId="2">Sheet1!$A$5:$A$26</definedName>
    <definedName name="ExternalData_99" localSheetId="0">'Yahoo Share Data'!$C$7:$C$106</definedName>
    <definedName name="ExternalData1" localSheetId="0">'Yahoo Share Data'!$C$7:$C$14</definedName>
    <definedName name="ExternalData1_1" localSheetId="2">Sheet1!$A$5:$A$12</definedName>
    <definedName name="ExternalData10" localSheetId="0">'Yahoo Share Data'!$C$7:$C$14</definedName>
    <definedName name="ExternalData10_1" localSheetId="2">Sheet1!$A$5:$A$12</definedName>
    <definedName name="ExternalData11" localSheetId="0">'Yahoo Share Data'!$C$7:$C$14</definedName>
    <definedName name="ExternalData11_1" localSheetId="2">Sheet1!$A$5:$A$12</definedName>
    <definedName name="ExternalData12" localSheetId="0">'Yahoo Share Data'!$C$7:$C$14</definedName>
    <definedName name="ExternalData12_1" localSheetId="2">Sheet1!$A$5:$A$12</definedName>
    <definedName name="ExternalData13" localSheetId="0">'Yahoo Share Data'!$C$7:$C$12</definedName>
    <definedName name="ExternalData13_1" localSheetId="2">Sheet1!$A$5:$A$10</definedName>
    <definedName name="ExternalData14" localSheetId="0">'Yahoo Share Data'!$C$7:$C$13</definedName>
    <definedName name="ExternalData14_1" localSheetId="2">Sheet1!$A$5:$A$11</definedName>
    <definedName name="ExternalData15" localSheetId="0">'Yahoo Share Data'!$C$7:$C$14</definedName>
    <definedName name="ExternalData15_1" localSheetId="2">Sheet1!$A$5:$A$12</definedName>
    <definedName name="ExternalData16" localSheetId="0">'Yahoo Share Data'!$C$7:$C$15</definedName>
    <definedName name="ExternalData16_1" localSheetId="2">Sheet1!$A$5:$A$13</definedName>
    <definedName name="ExternalData17" localSheetId="0">'Yahoo Share Data'!$C$7:$C$15</definedName>
    <definedName name="ExternalData17_1" localSheetId="2">Sheet1!$A$5:$A$13</definedName>
    <definedName name="ExternalData18" localSheetId="0">'Yahoo Share Data'!$C$7:$C$17</definedName>
    <definedName name="ExternalData18_1" localSheetId="2">Sheet1!$A$5:$A$15</definedName>
    <definedName name="ExternalData19" localSheetId="0">'Yahoo Share Data'!$C$7:$C$17</definedName>
    <definedName name="ExternalData19_1" localSheetId="2">Sheet1!$A$5:$A$15</definedName>
    <definedName name="ExternalData2" localSheetId="0">'Yahoo Share Data'!$C$7:$C$14</definedName>
    <definedName name="ExternalData2_1" localSheetId="2">Sheet1!$A$5:$A$12</definedName>
    <definedName name="ExternalData20" localSheetId="0">'Yahoo Share Data'!$C$7:$C$17</definedName>
    <definedName name="ExternalData20_1" localSheetId="2">Sheet1!$A$5:$A$15</definedName>
    <definedName name="ExternalData206" localSheetId="0">'Yahoo Share Data'!$C$7:$C$14</definedName>
    <definedName name="ExternalData206_1" localSheetId="2">Sheet1!$A$5:$A$12</definedName>
    <definedName name="ExternalData21" localSheetId="0">'Yahoo Share Data'!$C$7:$C$17</definedName>
    <definedName name="ExternalData21_1" localSheetId="2">Sheet1!$A$5:$A$15</definedName>
    <definedName name="ExternalData22" localSheetId="0">'Yahoo Share Data'!$C$7:$C$17</definedName>
    <definedName name="ExternalData22_1" localSheetId="2">Sheet1!$A$5:$A$15</definedName>
    <definedName name="ExternalData228" localSheetId="0">'Yahoo Share Data'!$D$7:$D$15</definedName>
    <definedName name="ExternalData228_1" localSheetId="2">Sheet1!$B$5:$B$13</definedName>
    <definedName name="ExternalData229" localSheetId="0">'Yahoo Share Data'!$D$7:$D$15</definedName>
    <definedName name="ExternalData229_1" localSheetId="2">Sheet1!$B$5:$B$13</definedName>
    <definedName name="ExternalData23" localSheetId="0">'Yahoo Share Data'!$C$7:$C$17</definedName>
    <definedName name="ExternalData23_1" localSheetId="2">Sheet1!$A$5:$A$15</definedName>
    <definedName name="ExternalData230" localSheetId="0">'Yahoo Share Data'!$D$7:$D$15</definedName>
    <definedName name="ExternalData230_1" localSheetId="2">Sheet1!$B$5:$B$13</definedName>
    <definedName name="ExternalData231" localSheetId="0">'Yahoo Share Data'!$D$7:$D$15</definedName>
    <definedName name="ExternalData231_1" localSheetId="2">Sheet1!$B$5:$B$13</definedName>
    <definedName name="ExternalData232" localSheetId="0">'Yahoo Share Data'!$D$7:$D$15</definedName>
    <definedName name="ExternalData232_1" localSheetId="2">Sheet1!$B$5:$B$13</definedName>
    <definedName name="ExternalData233" localSheetId="0">'Yahoo Share Data'!$D$7:$D$15</definedName>
    <definedName name="ExternalData233_1" localSheetId="2">Sheet1!$B$5:$B$13</definedName>
    <definedName name="ExternalData234" localSheetId="0">'Yahoo Share Data'!$D$7:$D$15</definedName>
    <definedName name="ExternalData234_1" localSheetId="2">Sheet1!$B$5:$B$13</definedName>
    <definedName name="ExternalData235" localSheetId="0">'Yahoo Share Data'!$D$7:$D$15</definedName>
    <definedName name="ExternalData235_1" localSheetId="2">Sheet1!$B$5:$B$13</definedName>
    <definedName name="ExternalData236" localSheetId="0">'Yahoo Share Data'!$D$7:$D$15</definedName>
    <definedName name="ExternalData236_1" localSheetId="2">Sheet1!$B$5:$B$13</definedName>
    <definedName name="ExternalData237" localSheetId="0">'Yahoo Share Data'!$D$7:$D$8</definedName>
    <definedName name="ExternalData237_1" localSheetId="2">Sheet1!$B$5:$B$6</definedName>
    <definedName name="ExternalData238" localSheetId="0">'Yahoo Share Data'!$D$7:$D$8</definedName>
    <definedName name="ExternalData238_1" localSheetId="2">Sheet1!$B$5:$B$6</definedName>
    <definedName name="ExternalData239" localSheetId="0">'Yahoo Share Data'!$D$7:$D$8</definedName>
    <definedName name="ExternalData239_1" localSheetId="2">Sheet1!$B$5:$B$6</definedName>
    <definedName name="ExternalData24" localSheetId="0">'Yahoo Share Data'!$C$7:$C$17</definedName>
    <definedName name="ExternalData24_1" localSheetId="2">Sheet1!$A$5:$A$15</definedName>
    <definedName name="ExternalData240" localSheetId="0">'Yahoo Share Data'!$D$7:$D$8</definedName>
    <definedName name="ExternalData240_1" localSheetId="2">Sheet1!$B$5:$B$6</definedName>
    <definedName name="ExternalData241" localSheetId="0">'Yahoo Share Data'!$D$7:$D$15</definedName>
    <definedName name="ExternalData241_1" localSheetId="2">Sheet1!$B$5:$B$13</definedName>
    <definedName name="ExternalData242" localSheetId="0">'Yahoo Share Data'!$D$7:$D$15</definedName>
    <definedName name="ExternalData242_1" localSheetId="2">Sheet1!$B$5:$B$13</definedName>
    <definedName name="ExternalData243" localSheetId="0">'Yahoo Share Data'!$D$7:$D$15</definedName>
    <definedName name="ExternalData243_1" localSheetId="2">Sheet1!$B$5:$B$13</definedName>
    <definedName name="ExternalData244" localSheetId="0">'Yahoo Share Data'!$D$7:$D$15</definedName>
    <definedName name="ExternalData244_1" localSheetId="2">Sheet1!$B$5:$B$13</definedName>
    <definedName name="ExternalData245" localSheetId="0">'Yahoo Share Data'!$D$7:$D$15</definedName>
    <definedName name="ExternalData245_1" localSheetId="2">Sheet1!$B$5:$B$13</definedName>
    <definedName name="ExternalData246" localSheetId="0">'Yahoo Share Data'!$D$7:$D$15</definedName>
    <definedName name="ExternalData246_1" localSheetId="2">Sheet1!$B$5:$B$13</definedName>
    <definedName name="ExternalData247" localSheetId="0">'Yahoo Share Data'!$D$7:$D$15</definedName>
    <definedName name="ExternalData247_1" localSheetId="2">Sheet1!$B$5:$B$13</definedName>
    <definedName name="ExternalData248" localSheetId="0">'Yahoo Share Data'!$D$7:$D$15</definedName>
    <definedName name="ExternalData248_1" localSheetId="2">Sheet1!$B$5:$B$13</definedName>
    <definedName name="ExternalData249" localSheetId="0">'Yahoo Share Data'!$D$7:$D$15</definedName>
    <definedName name="ExternalData249_1" localSheetId="2">Sheet1!$B$5:$B$13</definedName>
    <definedName name="ExternalData25" localSheetId="0">'Yahoo Share Data'!$C$7:$C$18</definedName>
    <definedName name="ExternalData25_1" localSheetId="2">Sheet1!$A$5:$A$16</definedName>
    <definedName name="ExternalData250" localSheetId="0">'Yahoo Share Data'!$C$7:$C$15</definedName>
    <definedName name="ExternalData250_1" localSheetId="2">Sheet1!$A$5:$A$13</definedName>
    <definedName name="ExternalData251" localSheetId="0">'Yahoo Share Data'!$C$7:$C$15</definedName>
    <definedName name="ExternalData251_1" localSheetId="2">Sheet1!$A$5:$A$13</definedName>
    <definedName name="ExternalData252" localSheetId="0">'Yahoo Share Data'!$C$7:$C$15</definedName>
    <definedName name="ExternalData252_1" localSheetId="2">Sheet1!$A$5:$A$13</definedName>
    <definedName name="ExternalData253" localSheetId="0">'Yahoo Share Data'!$C$7:$C$15</definedName>
    <definedName name="ExternalData253_1" localSheetId="2">Sheet1!$A$5:$A$13</definedName>
    <definedName name="ExternalData254" localSheetId="0">'Yahoo Share Data'!$C$7:$C$15</definedName>
    <definedName name="ExternalData254_1" localSheetId="2">Sheet1!$A$5:$A$13</definedName>
    <definedName name="ExternalData255" localSheetId="0">'Yahoo Share Data'!$C$7:$C$15</definedName>
    <definedName name="ExternalData255_1" localSheetId="2">Sheet1!$A$5:$A$13</definedName>
    <definedName name="ExternalData256" localSheetId="0">'Yahoo Share Data'!$C$7:$C$15</definedName>
    <definedName name="ExternalData256_1" localSheetId="2">Sheet1!$A$5:$A$13</definedName>
    <definedName name="ExternalData257" localSheetId="0">'Yahoo Share Data'!$C$7:$C$15</definedName>
    <definedName name="ExternalData257_1" localSheetId="2">Sheet1!$A$5:$A$13</definedName>
    <definedName name="ExternalData258" localSheetId="0">'Yahoo Share Data'!$C$7:$C$15</definedName>
    <definedName name="ExternalData258_1" localSheetId="2">Sheet1!$A$5:$A$13</definedName>
    <definedName name="ExternalData259" localSheetId="0">'Yahoo Share Data'!$C$7:$C$15</definedName>
    <definedName name="ExternalData259_1" localSheetId="2">Sheet1!$A$5:$A$13</definedName>
    <definedName name="ExternalData26" localSheetId="0">'Yahoo Share Data'!$C$7:$C$17</definedName>
    <definedName name="ExternalData26_1" localSheetId="2">Sheet1!$A$5:$A$15</definedName>
    <definedName name="ExternalData260" localSheetId="0">'Yahoo Share Data'!$C$7:$C$15</definedName>
    <definedName name="ExternalData260_1" localSheetId="2">Sheet1!$A$5:$A$13</definedName>
    <definedName name="ExternalData261" localSheetId="0">'Yahoo Share Data'!$C$7:$C$15</definedName>
    <definedName name="ExternalData261_1" localSheetId="2">Sheet1!$A$5:$A$13</definedName>
    <definedName name="ExternalData262" localSheetId="0">'Yahoo Share Data'!$C$7:$C$15</definedName>
    <definedName name="ExternalData262_1" localSheetId="2">Sheet1!$A$5:$A$13</definedName>
    <definedName name="ExternalData263" localSheetId="0">'Yahoo Share Data'!$C$7:$C$15</definedName>
    <definedName name="ExternalData263_1" localSheetId="2">Sheet1!$A$5:$A$13</definedName>
    <definedName name="ExternalData264" localSheetId="0">'Yahoo Share Data'!$C$7:$C$15</definedName>
    <definedName name="ExternalData264_1" localSheetId="2">Sheet1!$A$5:$A$13</definedName>
    <definedName name="ExternalData265" localSheetId="0">'Yahoo Share Data'!$C$7:$C$15</definedName>
    <definedName name="ExternalData265_1" localSheetId="2">Sheet1!$A$5:$A$13</definedName>
    <definedName name="ExternalData266" localSheetId="0">'Yahoo Share Data'!$C$7:$C$15</definedName>
    <definedName name="ExternalData266_1" localSheetId="2">Sheet1!$A$5:$A$13</definedName>
    <definedName name="ExternalData267" localSheetId="0">'Yahoo Share Data'!$C$7:$C$15</definedName>
    <definedName name="ExternalData267_1" localSheetId="2">Sheet1!$A$5:$A$13</definedName>
    <definedName name="ExternalData268" localSheetId="0">'Yahoo Share Data'!$C$7:$C$15</definedName>
    <definedName name="ExternalData268_1" localSheetId="2">Sheet1!$A$5:$A$13</definedName>
    <definedName name="ExternalData269" localSheetId="0">'Yahoo Share Data'!$C$7:$C$15</definedName>
    <definedName name="ExternalData269_1" localSheetId="2">Sheet1!$A$5:$A$13</definedName>
    <definedName name="ExternalData27" localSheetId="0">'Yahoo Share Data'!$C$7:$C$18</definedName>
    <definedName name="ExternalData27_1" localSheetId="2">Sheet1!$A$5:$A$16</definedName>
    <definedName name="ExternalData270" localSheetId="0">'Yahoo Share Data'!$C$7:$C$16</definedName>
    <definedName name="ExternalData270_1" localSheetId="2">Sheet1!$A$5:$A$14</definedName>
    <definedName name="ExternalData271" localSheetId="0">'Yahoo Share Data'!$C$7:$C$16</definedName>
    <definedName name="ExternalData271_1" localSheetId="2">Sheet1!$A$5:$A$14</definedName>
    <definedName name="ExternalData272" localSheetId="0">'Yahoo Share Data'!$C$7:$C$16</definedName>
    <definedName name="ExternalData272_1" localSheetId="2">Sheet1!$A$5:$A$14</definedName>
    <definedName name="ExternalData273" localSheetId="0">'Yahoo Share Data'!$C$7:$C$16</definedName>
    <definedName name="ExternalData273_1" localSheetId="2">Sheet1!$A$5:$A$14</definedName>
    <definedName name="ExternalData274" localSheetId="0">'Yahoo Share Data'!$C$7:$C$16</definedName>
    <definedName name="ExternalData274_1" localSheetId="2">Sheet1!$A$5:$A$14</definedName>
    <definedName name="ExternalData275" localSheetId="0">'Yahoo Share Data'!$C$7:$C$16</definedName>
    <definedName name="ExternalData275_1" localSheetId="2">Sheet1!$A$5:$A$14</definedName>
    <definedName name="ExternalData276" localSheetId="0">'Yahoo Share Data'!$C$7:$C$16</definedName>
    <definedName name="ExternalData276_1" localSheetId="2">Sheet1!$A$5:$A$14</definedName>
    <definedName name="ExternalData277" localSheetId="0">'Yahoo Share Data'!$C$7:$C$16</definedName>
    <definedName name="ExternalData277_1" localSheetId="2">Sheet1!$A$5:$A$14</definedName>
    <definedName name="ExternalData278" localSheetId="0">'Yahoo Share Data'!$C$7:$C$16</definedName>
    <definedName name="ExternalData278_1" localSheetId="2">Sheet1!$A$5:$A$14</definedName>
    <definedName name="ExternalData279" localSheetId="0">'Yahoo Share Data'!$C$7:$C$16</definedName>
    <definedName name="ExternalData279_1" localSheetId="2">Sheet1!$A$5:$A$14</definedName>
    <definedName name="ExternalData28" localSheetId="0">'Yahoo Share Data'!$C$7:$C$18</definedName>
    <definedName name="ExternalData28_1" localSheetId="2">Sheet1!$A$5:$A$16</definedName>
    <definedName name="ExternalData280" localSheetId="0">'Yahoo Share Data'!$C$7:$C$16</definedName>
    <definedName name="ExternalData280_1" localSheetId="2">Sheet1!$A$5:$A$14</definedName>
    <definedName name="ExternalData281" localSheetId="0">'Yahoo Share Data'!$C$7:$C$16</definedName>
    <definedName name="ExternalData281_1" localSheetId="2">Sheet1!$A$5:$A$14</definedName>
    <definedName name="ExternalData282" localSheetId="0">'Yahoo Share Data'!$C$7:$C$16</definedName>
    <definedName name="ExternalData282_1" localSheetId="2">Sheet1!$A$5:$A$14</definedName>
    <definedName name="ExternalData283" localSheetId="0">'Yahoo Share Data'!$C$7:$C$16</definedName>
    <definedName name="ExternalData283_1" localSheetId="2">Sheet1!$A$5:$A$14</definedName>
    <definedName name="ExternalData284" localSheetId="0">'Yahoo Share Data'!$C$7:$C$16</definedName>
    <definedName name="ExternalData284_1" localSheetId="2">Sheet1!$A$5:$A$14</definedName>
    <definedName name="ExternalData285" localSheetId="0">'Yahoo Share Data'!$C$7:$C$16</definedName>
    <definedName name="ExternalData285_1" localSheetId="2">Sheet1!$A$5:$A$14</definedName>
    <definedName name="ExternalData286" localSheetId="0">'Yahoo Share Data'!$C$7:$C$16</definedName>
    <definedName name="ExternalData286_1" localSheetId="2">Sheet1!$A$5:$A$14</definedName>
    <definedName name="ExternalData287" localSheetId="0">'Yahoo Share Data'!$C$7:$C$16</definedName>
    <definedName name="ExternalData287_1" localSheetId="2">Sheet1!$A$5:$A$14</definedName>
    <definedName name="ExternalData29" localSheetId="0">'Yahoo Share Data'!$C$7:$C$29</definedName>
    <definedName name="ExternalData29_1" localSheetId="2">Sheet1!$A$5:$A$27</definedName>
    <definedName name="ExternalData3" localSheetId="0">'Yahoo Share Data'!$C$7:$C$12</definedName>
    <definedName name="ExternalData3_1" localSheetId="2">Sheet1!$A$5:$A$10</definedName>
    <definedName name="ExternalData31" localSheetId="0">'Yahoo Share Data'!$C$7:$C$15</definedName>
    <definedName name="ExternalData31_1" localSheetId="2">Sheet1!$A$5:$A$13</definedName>
    <definedName name="ExternalData32" localSheetId="0">'Yahoo Share Data'!$C$7:$C$15</definedName>
    <definedName name="ExternalData32_1" localSheetId="2">Sheet1!$A$5:$A$13</definedName>
    <definedName name="ExternalData33" localSheetId="0">'Yahoo Share Data'!$C$7:$C$15</definedName>
    <definedName name="ExternalData33_1" localSheetId="2">Sheet1!$A$5:$A$13</definedName>
    <definedName name="ExternalData34" localSheetId="0">'Yahoo Share Data'!$C$7:$C$15</definedName>
    <definedName name="ExternalData34_1" localSheetId="2">Sheet1!$A$5:$A$13</definedName>
    <definedName name="ExternalData35" localSheetId="0">'Yahoo Share Data'!$C$7:$C$15</definedName>
    <definedName name="ExternalData35_1" localSheetId="2">Sheet1!$A$5:$A$13</definedName>
    <definedName name="ExternalData36" localSheetId="0">'Yahoo Share Data'!$C$7:$C$15</definedName>
    <definedName name="ExternalData36_1" localSheetId="2">Sheet1!$A$5:$A$13</definedName>
    <definedName name="ExternalData37" localSheetId="0">'Yahoo Share Data'!$C$7:$C$15</definedName>
    <definedName name="ExternalData37_1" localSheetId="2">Sheet1!$A$5:$A$13</definedName>
    <definedName name="ExternalData38" localSheetId="0">'Yahoo Share Data'!$C$7:$C$15</definedName>
    <definedName name="ExternalData38_1" localSheetId="2">Sheet1!$A$5:$A$13</definedName>
    <definedName name="ExternalData39" localSheetId="0">'Yahoo Share Data'!$C$7:$C$15</definedName>
    <definedName name="ExternalData39_1" localSheetId="2">Sheet1!$A$5:$A$13</definedName>
    <definedName name="ExternalData4" localSheetId="0">'Yahoo Share Data'!$C$7:$C$15</definedName>
    <definedName name="ExternalData4_1" localSheetId="2">Sheet1!$A$5:$A$13</definedName>
    <definedName name="ExternalData40" localSheetId="0">'Yahoo Share Data'!$C$7:$C$8</definedName>
    <definedName name="ExternalData40_1" localSheetId="2">Sheet1!$A$5:$A$6</definedName>
    <definedName name="ExternalData41" localSheetId="0">'Yahoo Share Data'!$C$7:$C$8</definedName>
    <definedName name="ExternalData41_1" localSheetId="2">Sheet1!$A$5:$A$6</definedName>
    <definedName name="ExternalData42" localSheetId="0">'Yahoo Share Data'!$C$7:$C$8</definedName>
    <definedName name="ExternalData42_1" localSheetId="2">Sheet1!$A$5:$A$6</definedName>
    <definedName name="ExternalData43" localSheetId="0">'Yahoo Share Data'!$C$7:$C$8</definedName>
    <definedName name="ExternalData43_1" localSheetId="2">Sheet1!$A$5:$A$6</definedName>
    <definedName name="ExternalData44" localSheetId="0">'Yahoo Share Data'!$C$7:$C$15</definedName>
    <definedName name="ExternalData44_1" localSheetId="2">Sheet1!$A$5:$A$13</definedName>
    <definedName name="ExternalData45" localSheetId="0">'Yahoo Share Data'!$C$7:$C$15</definedName>
    <definedName name="ExternalData45_1" localSheetId="2">Sheet1!$A$5:$A$13</definedName>
    <definedName name="ExternalData46" localSheetId="0">'Yahoo Share Data'!$C$7:$C$15</definedName>
    <definedName name="ExternalData46_1" localSheetId="2">Sheet1!$A$5:$A$13</definedName>
    <definedName name="ExternalData47" localSheetId="0">'Yahoo Share Data'!$C$7:$C$15</definedName>
    <definedName name="ExternalData47_1" localSheetId="2">Sheet1!$A$5:$A$13</definedName>
    <definedName name="ExternalData48" localSheetId="0">'Yahoo Share Data'!$C$7:$C$15</definedName>
    <definedName name="ExternalData48_1" localSheetId="2">Sheet1!$A$5:$A$13</definedName>
    <definedName name="ExternalData49" localSheetId="0">'Yahoo Share Data'!$C$7:$C$15</definedName>
    <definedName name="ExternalData49_1" localSheetId="2">Sheet1!$A$5:$A$13</definedName>
    <definedName name="ExternalData5" localSheetId="0">'Yahoo Share Data'!$C$7:$C$15</definedName>
    <definedName name="ExternalData5_1" localSheetId="2">Sheet1!$A$5:$A$13</definedName>
    <definedName name="ExternalData50" localSheetId="0">'Yahoo Share Data'!$C$7:$C$15</definedName>
    <definedName name="ExternalData50_1" localSheetId="2">Sheet1!$A$5:$A$13</definedName>
    <definedName name="ExternalData51" localSheetId="0">'Yahoo Share Data'!$C$7:$C$15</definedName>
    <definedName name="ExternalData51_1" localSheetId="2">Sheet1!$A$5:$A$13</definedName>
    <definedName name="ExternalData52" localSheetId="0">'Yahoo Share Data'!$C$7:$C$15</definedName>
    <definedName name="ExternalData52_1" localSheetId="2">Sheet1!$A$5:$A$13</definedName>
    <definedName name="ExternalData53" localSheetId="0">'Yahoo Share Data'!$C$7:$C$18</definedName>
    <definedName name="ExternalData53_1" localSheetId="2">Sheet1!$A$5:$A$16</definedName>
    <definedName name="ExternalData54" localSheetId="0">'Yahoo Share Data'!$C$7:$C$18</definedName>
    <definedName name="ExternalData54_1" localSheetId="2">Sheet1!$A$5:$A$16</definedName>
    <definedName name="ExternalData55" localSheetId="0">'Yahoo Share Data'!$C$7:$C$18</definedName>
    <definedName name="ExternalData55_1" localSheetId="2">Sheet1!$A$5:$A$16</definedName>
    <definedName name="ExternalData56" localSheetId="0">'Yahoo Share Data'!$C$7:$C$18</definedName>
    <definedName name="ExternalData56_1" localSheetId="2">Sheet1!$A$5:$A$16</definedName>
    <definedName name="ExternalData57" localSheetId="0">'Yahoo Share Data'!$C$7:$C$18</definedName>
    <definedName name="ExternalData57_1" localSheetId="2">Sheet1!$A$5:$A$16</definedName>
    <definedName name="ExternalData58" localSheetId="0">'Yahoo Share Data'!$C$7:$C$18</definedName>
    <definedName name="ExternalData58_1" localSheetId="2">Sheet1!$A$5:$A$16</definedName>
    <definedName name="ExternalData59" localSheetId="0">'Yahoo Share Data'!$C$7:$C$21</definedName>
    <definedName name="ExternalData59_1" localSheetId="2">Sheet1!$A$5:$A$19</definedName>
    <definedName name="ExternalData6" localSheetId="0">'Yahoo Share Data'!$C$7:$C$15</definedName>
    <definedName name="ExternalData6_1" localSheetId="2">Sheet1!$A$5:$A$13</definedName>
    <definedName name="ExternalData60" localSheetId="0">'Yahoo Share Data'!$C$7:$C$21</definedName>
    <definedName name="ExternalData60_1" localSheetId="2">Sheet1!$A$5:$A$19</definedName>
    <definedName name="ExternalData61" localSheetId="0">'Yahoo Share Data'!$C$7:$C$21</definedName>
    <definedName name="ExternalData61_1" localSheetId="2">Sheet1!$A$5:$A$19</definedName>
    <definedName name="ExternalData62" localSheetId="0">'Yahoo Share Data'!$C$7:$C$21</definedName>
    <definedName name="ExternalData62_1" localSheetId="2">Sheet1!$A$5:$A$19</definedName>
    <definedName name="ExternalData63" localSheetId="0">'Yahoo Share Data'!$C$7:$C$21</definedName>
    <definedName name="ExternalData63_1" localSheetId="2">Sheet1!$A$5:$A$19</definedName>
    <definedName name="ExternalData64" localSheetId="0">'Yahoo Share Data'!$C$7:$C$21</definedName>
    <definedName name="ExternalData64_1" localSheetId="2">Sheet1!$A$5:$A$19</definedName>
    <definedName name="ExternalData65" localSheetId="0">'Yahoo Share Data'!$C$7:$C$21</definedName>
    <definedName name="ExternalData65_1" localSheetId="2">Sheet1!$A$5:$A$19</definedName>
    <definedName name="ExternalData66" localSheetId="0">'Yahoo Share Data'!$C$7:$C$21</definedName>
    <definedName name="ExternalData66_1" localSheetId="2">Sheet1!$A$5:$A$19</definedName>
    <definedName name="ExternalData67" localSheetId="0">'Yahoo Share Data'!$C$7:$C$21</definedName>
    <definedName name="ExternalData67_1" localSheetId="2">Sheet1!$A$5:$A$19</definedName>
    <definedName name="ExternalData68" localSheetId="0">'Yahoo Share Data'!$C$7:$C$21</definedName>
    <definedName name="ExternalData68_1" localSheetId="2">Sheet1!$A$5:$A$19</definedName>
    <definedName name="ExternalData69" localSheetId="0">'Yahoo Share Data'!$C$7:$C$21</definedName>
    <definedName name="ExternalData69_1" localSheetId="2">Sheet1!$A$5:$A$19</definedName>
    <definedName name="ExternalData7" localSheetId="0">'Yahoo Share Data'!$C$7:$C$15</definedName>
    <definedName name="ExternalData7_1" localSheetId="2">Sheet1!$A$5:$A$13</definedName>
    <definedName name="ExternalData70" localSheetId="0">'Yahoo Share Data'!$C$7:$C$29</definedName>
    <definedName name="ExternalData70_1" localSheetId="2">Sheet1!$A$5:$A$27</definedName>
    <definedName name="ExternalData71" localSheetId="0">'Yahoo Share Data'!$C$7:$C$29</definedName>
    <definedName name="ExternalData71_1" localSheetId="2">Sheet1!$A$5:$A$27</definedName>
    <definedName name="ExternalData72" localSheetId="0">'Yahoo Share Data'!$C$7:$C$29</definedName>
    <definedName name="ExternalData72_1" localSheetId="2">Sheet1!$A$5:$A$27</definedName>
    <definedName name="ExternalData8" localSheetId="0">'Yahoo Share Data'!$C$7:$C$14</definedName>
    <definedName name="ExternalData8_1" localSheetId="2">Sheet1!$A$5:$A$12</definedName>
    <definedName name="ExternalData9" localSheetId="0">'Yahoo Share Data'!$C$7:$C$14</definedName>
    <definedName name="ExternalData9_1" localSheetId="2">Sheet1!$A$5:$A$12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 calcMode="manual"/>
</workbook>
</file>

<file path=xl/calcChain.xml><?xml version="1.0" encoding="utf-8"?>
<calcChain xmlns="http://schemas.openxmlformats.org/spreadsheetml/2006/main">
  <c r="B2" i="4" l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1" i="4"/>
  <c r="Y133" i="1" l="1"/>
  <c r="AA133" i="1"/>
  <c r="Y148" i="1"/>
  <c r="AA148" i="1"/>
  <c r="Y208" i="1"/>
  <c r="AA208" i="1"/>
</calcChain>
</file>

<file path=xl/connections.xml><?xml version="1.0" encoding="utf-8"?>
<connections xmlns="http://schemas.openxmlformats.org/spreadsheetml/2006/main">
  <connection id="1" name="Connection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" name="Connection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" name="Connection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4" name="Connection100" type="4" refreshedVersion="0" savePassword="1" background="1" saveData="1">
    <webPr consecutive="1" xl97="1" url="http://finance.yahoo.com/d/quotes.csv?s=GE+MSFT+BBDb.TO+PXLW+XOM+GNSS+CDV.TO+F+T+GM+MSO+IBM&amp;f=nl1r" htmlFormat="all"/>
  </connection>
  <connection id="5" name="Connection1001" type="4" refreshedVersion="0" savePassword="1" background="1" saveData="1">
    <webPr consecutive="1" xl97="1" url="http://finance.yahoo.com/d/quotes.csv?s=GE+MSFT+BBDb.TO+PXLW+XOM+GNSS+CDV.TO+F+T+GM+MSO+IBM&amp;f=nl1r" htmlFormat="all"/>
  </connection>
  <connection id="6" name="Connection101" type="4" refreshedVersion="0" savePassword="1" background="1" saveData="1">
    <webPr consecutive="1" xl97="1" url="http://finance.yahoo.com/d/quotes.csv?s=GE+MSFT+BBDb.TO+PXLW+XOM+GNSS+CDV.TO+F+T+GM+MSO+IBM&amp;f=nl1r" htmlFormat="all"/>
  </connection>
  <connection id="7" name="Connection10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8" name="Connection1011" type="4" refreshedVersion="0" savePassword="1" background="1" saveData="1">
    <webPr consecutive="1" xl97="1" url="http://finance.yahoo.com/d/quotes.csv?s=GE+MSFT+BBDb.TO+PXLW+XOM+GNSS+CDV.TO+F+T+GM+MSO+IBM&amp;f=nl1r" htmlFormat="all"/>
  </connection>
  <connection id="9" name="Connection102" type="4" refreshedVersion="0" savePassword="1" background="1" saveData="1">
    <webPr consecutive="1" xl97="1" url="http://finance.yahoo.com/d/quotes.csv?s=GE+MSFT+BBDb.TO+PXLW+XOM+GNSS+CDV.TO+F+T+GM+MSO+IBM&amp;f=nl1r" htmlFormat="all"/>
  </connection>
  <connection id="10" name="Connection1021" type="4" refreshedVersion="0" savePassword="1" background="1" saveData="1">
    <webPr consecutive="1" xl97="1" url="http://finance.yahoo.com/d/quotes.csv?s=GE+MSFT+BBDb.TO+PXLW+XOM+GNSS+CDV.TO+F+T+GM+MSO+IBM&amp;f=nl1r" htmlFormat="all"/>
  </connection>
  <connection id="11" name="Connection103" type="4" refreshedVersion="0" savePassword="1" background="1" saveData="1">
    <webPr consecutive="1" xl97="1" url="http://finance.yahoo.com/d/quotes.csv?s=GE+MSFT+BBDb.TO+PXLW+XOM+GNSS+CDV.TO+F+T+GM+MSO+IBM&amp;f=nl1" htmlFormat="all"/>
  </connection>
  <connection id="12" name="Connection1031" type="4" refreshedVersion="0" savePassword="1" background="1" saveData="1">
    <webPr consecutive="1" xl97="1" url="http://finance.yahoo.com/d/quotes.csv?s=GE+MSFT+BBDb.TO+PXLW+XOM+GNSS+CDV.TO+F+T+GM+MSO+IBM&amp;f=nl1" htmlFormat="all"/>
  </connection>
  <connection id="13" name="Connection104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4" name="Connection104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5" name="Connection105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6" name="Connection105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7" name="Connection106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8" name="Connection106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9" name="Connection107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0" name="Connection107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1" name="Connection108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2" name="Connection108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3" name="Connection109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4" name="Connection109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5" name="Connection11" type="4" refreshedVersion="0" background="1" saveData="1">
    <webPr url="http://download.finance.yahoo.com/d/quotes.csv?s=^AXJO+bhp.ax+AXP+NAB.AX+QBE.AX+CVX+DD+DIS+GE+HPQ+IBM+INTC+JNJ+JPM+KO+MCD+MMM+MSFT+PG+T+NAB.AX&amp;f=nd1t1l1ohgc1p2wj1ryr5m3m8m4m6" htmlFormat="all"/>
  </connection>
  <connection id="26" name="Connection110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7" name="Connection110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8" name="Connection110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9" name="Connection111" type="4" refreshedVersion="0" savePassword="1" background="1" saveData="1">
    <webPr consecutive="1" xl97="1" url="http://finance.yahoo.com/d/quotes.csv?s=GE+MSFT&amp;f=nl1" htmlFormat="all"/>
  </connection>
  <connection id="30" name="Connection1110" type="4" refreshedVersion="0" background="1" saveData="1">
    <webPr url="http://download.finance.yahoo.com/d/quotes.csv?s=^AXJO+bhp.ax+AXP+NAB.AX+QBE.AX+CVX+DD+DIS+GE+HPQ+IBM+INTC+JNJ+JPM+KO+MCD+MMM+MSFT+PG+T+NAB.AX&amp;f=nd1t1l1ohgc1p2wj1ryr5m3m8m4m6" htmlFormat="all"/>
  </connection>
  <connection id="31" name="Connection1111" type="4" refreshedVersion="0" savePassword="1" background="1" saveData="1">
    <webPr consecutive="1" xl97="1" url="http://finance.yahoo.com/d/quotes.csv?s=GE+MSFT&amp;f=nl1" htmlFormat="all"/>
  </connection>
  <connection id="32" name="Connection112" type="4" refreshedVersion="0" savePassword="1" background="1" saveData="1">
    <webPr consecutive="1" xl97="1" url="http://finance.yahoo.com/d/quotes.csv?s=GE+MSFTf=n" htmlFormat="all"/>
  </connection>
  <connection id="33" name="Connection1121" type="4" refreshedVersion="0" savePassword="1" background="1" saveData="1">
    <webPr consecutive="1" xl97="1" url="http://finance.yahoo.com/d/quotes.csv?s=GE+MSFTf=n" htmlFormat="all"/>
  </connection>
  <connection id="34" name="Connection113" type="4" refreshedVersion="0" savePassword="1" background="1" saveData="1">
    <webPr consecutive="1" xl97="1" url="http://finance.yahoo.com/d/quotes.csv?s=GE+MSFTf=n" htmlFormat="all"/>
  </connection>
  <connection id="35" name="Connection1131" type="4" refreshedVersion="0" savePassword="1" background="1" saveData="1">
    <webPr consecutive="1" xl97="1" url="http://finance.yahoo.com/d/quotes.csv?s=GE+MSFTf=n" htmlFormat="all"/>
  </connection>
  <connection id="36" name="Connection114" type="4" refreshedVersion="0" savePassword="1" background="1" saveData="1">
    <webPr consecutive="1" xl97="1" url="http://finance.yahoo.com/d/quotes.csv?s=GE+MSFT" htmlFormat="all"/>
  </connection>
  <connection id="37" name="Connection1141" type="4" refreshedVersion="0" savePassword="1" background="1" saveData="1">
    <webPr consecutive="1" xl97="1" url="http://finance.yahoo.com/d/quotes.csv?s=GE+MSFT" htmlFormat="all"/>
  </connection>
  <connection id="38" name="Connection115" type="4" refreshedVersion="0" savePassword="1" background="1" saveData="1">
    <webPr consecutive="1" xl97="1" url="http://finance.yahoo.com/d/quotes.csv?s=GE+MSFT+BBDb.TO+PXLW+XOM+GNSS+CDV.TO+F+T+GM+MSO+IMAX.TO&amp;f=nl1" htmlFormat="all"/>
  </connection>
  <connection id="39" name="Connection115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0" name="Connection116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1" name="Connection116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2" name="Connection117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3" name="Connection117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4" name="Connection118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5" name="Connection118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6" name="Connection119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7" name="Connection119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8" name="Connection12" type="4" refreshedVersion="0" background="1" saveData="1">
    <webPr url="http://download.finance.yahoo.com/d/quotes.csv?s=^AXJO+bhp.ax+AXP+NAB.AX+BAC+CVX+DD+DIS+GE+HPQ+IBM+INTC+JNJ+JPM+KO+MCD+MMM+MSFT+PG+T+NAB.AX&amp;f=nd1t1l1ohgc1p2wj1ryr5m3m8m4m6" htmlFormat="all"/>
  </connection>
  <connection id="49" name="Connection120" type="4" refreshedVersion="0" savePassword="1" background="1" saveData="1">
    <webPr consecutive="1" xl97="1" url="http://finance.yahoo.com/d/quotes.csv?s=GE+MSFT+BBDb.TO+PXLW+XOM+GNSS+CDV.TO+F+T+GM+MSO+IMAX.TO&amp;f=nl1" htmlFormat="all"/>
  </connection>
  <connection id="50" name="Connection120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51" name="Connection12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52" name="Connection1210" type="4" refreshedVersion="0" background="1" saveData="1">
    <webPr url="http://download.finance.yahoo.com/d/quotes.csv?s=^AXJO+bhp.ax+AXP+NAB.AX+BAC+CVX+DD+DIS+GE+HPQ+IBM+INTC+JNJ+JPM+KO+MCD+MMM+MSFT+PG+T+NAB.AX&amp;f=nd1t1l1ohgc1p2wj1ryr5m3m8m4m6" htmlFormat="all"/>
  </connection>
  <connection id="53" name="Connection121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54" name="Connection122" type="4" refreshedVersion="0" savePassword="1" background="1" saveData="1">
    <webPr consecutive="1" xl97="1" url="http://finance.yahoo.com/d/quotes.csv?s=GE+MSFT+BBDb.TO+PXLW+XOM+GNSS+CDV.TO+F+T+GM+MSO+IMAX.TO&amp;f=nl1" htmlFormat="all"/>
  </connection>
  <connection id="55" name="Connection122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56" name="Connection123" type="4" refreshedVersion="0" savePassword="1" background="1" saveData="1">
    <webPr consecutive="1" xl97="1" url="http://finance.yahoo.com/d/quotes.csv?s=GE+MSFT+BBDb.TO+PXLW+XOM+GNSS+CDV.TO+F+T+GM+MSO+IMAX.TO&amp;f=nl1" htmlFormat="all"/>
  </connection>
  <connection id="57" name="Connection123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58" name="Connection124" type="4" refreshedVersion="0" savePassword="1" background="1" saveData="1">
    <webPr consecutive="1" xl97="1" url="http://finance.yahoo.com/d/quotes.csv?s=XIU.TO+PXLW+BBDb.TO+XIT.TO+LBRT.PK+COR.TO+CDV.TO+PCTI+DGENQ.OB+WED.TO+ENRNQ.PK+WCOEQ.PK&amp;f=nl1rj1d1" htmlFormat="all"/>
  </connection>
  <connection id="59" name="Connection1241" type="4" refreshedVersion="0" savePassword="1" background="1" saveData="1">
    <webPr consecutive="1" xl97="1" url="http://finance.yahoo.com/d/quotes.csv?s=XIU.TO+PXLW+BBDb.TO+XIT.TO+LBRT.PK+COR.TO+CDV.TO+PCTI+DGENQ.OB+WED.TO+ENRNQ.PK+WCOEQ.PK&amp;f=nl1rj1d1" htmlFormat="all"/>
  </connection>
  <connection id="60" name="Connection125" type="4" refreshedVersion="0" savePassword="1" background="1" saveData="1">
    <webPr consecutive="1" xl97="1" url="http://finance.yahoo.com/d/quotes.csv?s=XIU.TO+PXLW+BBDb.TO+XIT.TO+LBRT.PK+COR.TO+CDV.TO+PCTI+DGENQ.OB+WED.TO+ENRNQ.PK+WCOEQ.PK&amp;f=nl1vhsd1" htmlFormat="all"/>
  </connection>
  <connection id="61" name="Connection1251" type="4" refreshedVersion="0" savePassword="1" background="1" saveData="1">
    <webPr consecutive="1" xl97="1" url="http://finance.yahoo.com/d/quotes.csv?s=XIU.TO+PXLW+BBDb.TO+XIT.TO+LBRT.PK+COR.TO+CDV.TO+PCTI+DGENQ.OB+WED.TO+ENRNQ.PK+WCOEQ.PK&amp;f=nl1vhsd1" htmlFormat="all"/>
  </connection>
  <connection id="62" name="Connection126" type="4" refreshedVersion="0" savePassword="1" background="1" saveData="1">
    <webPr consecutive="1" xl97="1" url="http://finance.yahoo.com/d/quotes.csv?s=XIU.TO+PXLW+BBDb.TO+XIT.TO+LBRT.PK+COR.TO+CDV.TO+PCTI+DGENQ.OB+WED.TO+ENRNQ.PK+WCOEQ.PK&amp;f=nl1vhgd1" htmlFormat="all"/>
  </connection>
  <connection id="63" name="Connection1261" type="4" refreshedVersion="0" savePassword="1" background="1" saveData="1">
    <webPr consecutive="1" xl97="1" url="http://finance.yahoo.com/d/quotes.csv?s=XIU.TO+PXLW+BBDb.TO+XIT.TO+LBRT.PK+COR.TO+CDV.TO+PCTI+DGENQ.OB+WED.TO+ENRNQ.PK+WCOEQ.PK&amp;f=nl1vhgd1" htmlFormat="all"/>
  </connection>
  <connection id="64" name="Connection127" type="4" refreshedVersion="0" savePassword="1" background="1" saveData="1">
    <webPr consecutive="1" xl97="1" url="http://finance.yahoo.com/d/quotes.csv?s=XIU.TO+PXLW+BBDb.TO+XIT.TO+LBRT.PK+COR.TO+CDV.TO+PCTI+DGENQ.OB+WED.TO+ENRNQ.PK+WCOEQ.PK&amp;f=nl1vhgd1" htmlFormat="all"/>
  </connection>
  <connection id="65" name="Connection1271" type="4" refreshedVersion="0" savePassword="1" background="1" saveData="1">
    <webPr consecutive="1" xl97="1" url="http://finance.yahoo.com/d/quotes.csv?s=XIU.TO+PXLW+BBDb.TO+XIT.TO+LBRT.PK+COR.TO+CDV.TO+PCTI+DGENQ.OB+WED.TO+ENRNQ.PK+WCOEQ.PK&amp;f=nl1vhgd1" htmlFormat="all"/>
  </connection>
  <connection id="66" name="Connection128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67" name="Connection128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68" name="Connection129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69" name="Connection129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0" name="Connection13" type="4" refreshedVersion="0" background="1" saveData="1">
    <webPr url="http://download.finance.yahoo.com/d/quotes.csv?s=^AXJO+bhp.ax+AXP+NAB.AX+BAC+CVX+DD+DIS+GE+HPQ+IBM+INTC+JNJ+JPM+KO+MCD+MMM+MSFT+PG+T+NAB.AX&amp;f=nd1t1l1ohgc1p2wj1ryr5m3m8m4m6" htmlFormat="all"/>
  </connection>
  <connection id="71" name="Connection130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2" name="Connection130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3" name="Connection13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4" name="Connection1310" type="4" refreshedVersion="0" background="1" saveData="1">
    <webPr url="http://download.finance.yahoo.com/d/quotes.csv?s=^AXJO+bhp.ax+AXP+NAB.AX+BAC+CVX+DD+DIS+GE+HPQ+IBM+INTC+JNJ+JPM+KO+MCD+MMM+MSFT+PG+T+NAB.AX&amp;f=nd1t1l1ohgc1p2wj1ryr5m3m8m4m6" htmlFormat="all"/>
  </connection>
  <connection id="75" name="Connection131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6" name="Connection132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7" name="Connection132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8" name="Connection133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9" name="Connection133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80" name="Connection134" type="4" refreshedVersion="0" savePassword="1" background="1" saveData="1">
    <webPr consecutive="1" xl97="1" url="http://quote.yahoo.com/d/quotes.csv?s=XIU.TO+GE+MSFT+GM+F+XOM+CDV.TO+PCTI&amp;f=nl1vhgd1r" htmlFormat="all"/>
  </connection>
  <connection id="81" name="Connection1341" type="4" refreshedVersion="0" savePassword="1" background="1" saveData="1">
    <webPr consecutive="1" xl97="1" url="http://quote.yahoo.com/d/quotes.csv?s=XIU.TO+GE+MSFT+GM+F+XOM+CDV.TO+PCTI&amp;f=nl1vhgd1r" htmlFormat="all"/>
  </connection>
  <connection id="82" name="Connection135" type="4" refreshedVersion="0" savePassword="1" background="1" saveData="1">
    <webPr consecutive="1" xl97="1" url="http://quote.yahoo.com/d/quotes.csv?s=XIU.TO+GE+MSFT+GM+F+XOM+CDV.TO+PCTI&amp;f=nl1vhgd1r" htmlFormat="all"/>
  </connection>
  <connection id="83" name="Connection1351" type="4" refreshedVersion="0" savePassword="1" background="1" saveData="1">
    <webPr consecutive="1" xl97="1" url="http://quote.yahoo.com/d/quotes.csv?s=XIU.TO+GE+MSFT+GM+F+XOM+CDV.TO+PCTI&amp;f=nl1vhgd1r" htmlFormat="all"/>
  </connection>
  <connection id="84" name="Connection136" type="4" refreshedVersion="0" savePassword="1" background="1" saveData="1">
    <webPr consecutive="1" xl97="1" url="http://quote.yahoo.com/d/quotes.csv?s=XIU.TO+GE+MSFT+GM+F+XOM+CDV.TO+PCTI+OIH&amp;f=nl1vhgd1r" htmlFormat="all"/>
  </connection>
  <connection id="85" name="Connection1361" type="4" refreshedVersion="0" savePassword="1" background="1" saveData="1">
    <webPr consecutive="1" xl97="1" url="http://quote.yahoo.com/d/quotes.csv?s=XIU.TO+GE+MSFT+GM+F+XOM+CDV.TO+PCTI+OIH&amp;f=nl1vhgd1r" htmlFormat="all"/>
  </connection>
  <connection id="86" name="Connection137" type="4" refreshedVersion="0" savePassword="1" background="1" saveData="1">
    <webPr consecutive="1" xl97="1" url="http://quote.yahoo.com/d/quotes.csv?s=XIU.TO+GE+MSFT+GM+F+XOM+CDV.TO+PCTI+OIH+COS-UN.TO&amp;f=nl1vhgd1r" htmlFormat="all"/>
  </connection>
  <connection id="87" name="Connection1371" type="4" refreshedVersion="0" savePassword="1" background="1" saveData="1">
    <webPr consecutive="1" xl97="1" url="http://quote.yahoo.com/d/quotes.csv?s=XIU.TO+GE+MSFT+GM+F+XOM+CDV.TO+PCTI+OIH+COS-UN.TO&amp;f=nl1vhgd1r" htmlFormat="all"/>
  </connection>
  <connection id="88" name="Connection138" type="4" refreshedVersion="0" savePassword="1" background="1" saveData="1">
    <webPr consecutive="1" xl97="1" url="http://quote.yahoo.com/d/quotes.csv?s=XIU.TO+GE+MSFT+GM+F+XOM+CDV.TO+PCTI+OIH+COS-UN.TO+^DJI&amp;f=nl1vhgd1r" htmlFormat="all"/>
  </connection>
  <connection id="89" name="Connection1381" type="4" refreshedVersion="0" savePassword="1" background="1" saveData="1">
    <webPr consecutive="1" xl97="1" url="http://quote.yahoo.com/d/quotes.csv?s=XIU.TO+GE+MSFT+GM+F+XOM+CDV.TO+PCTI+OIH+COS-UN.TO+^DJI&amp;f=nl1vhgd1r" htmlFormat="all"/>
  </connection>
  <connection id="90" name="Connection139" type="4" refreshedVersion="0" savePassword="1" background="1" saveData="1">
    <webPr consecutive="1" xl97="1" url="http://quote.yahoo.com/d/quotes.csv?s=XIU.TO+GE+MSFT+GM+F+XOM+CDV.TO+PCTI+OIH+COS-UN.TO+^DJI+^IXIC&amp;f=nl1vhgd1r" htmlFormat="all"/>
  </connection>
  <connection id="91" name="Connection1391" type="4" refreshedVersion="0" savePassword="1" background="1" saveData="1">
    <webPr consecutive="1" xl97="1" url="http://quote.yahoo.com/d/quotes.csv?s=XIU.TO+GE+MSFT+GM+F+XOM+CDV.TO+PCTI+OIH+COS-UN.TO+^DJI+^IXIC&amp;f=nl1vhgd1r" htmlFormat="all"/>
  </connection>
  <connection id="92" name="Connection14" type="4" refreshedVersion="0" background="1" saveData="1">
    <webPr url="http://download.finance.yahoo.com/d/quotes.csv?s=^AXJO+bhp.ax+AXP+NAB.AX+BAC+CVX+DD+DIS+GE+HPQ+IBM+INTC+JNJ+JPM+KO+MCD+MMM+MSFT+PG+T+NAB.AX&amp;f=nd1t1l1ohgc1p2j1wryr5m3m8m4m6" htmlFormat="all"/>
  </connection>
  <connection id="93" name="Connection140" type="4" refreshedVersion="0" savePassword="1" background="1" saveData="1">
    <webPr consecutive="1" xl97="1" url="http://quote.yahoo.com/d/quotes.csv?s=XIU.TO+GE+MSFT+GM+F+XOM+CDV.TO+PCTI+OIH+COS-UN.TO+NVDA+^IXIC+^DJI+^IXIC&amp;f=nl1vhgd1r" htmlFormat="all"/>
  </connection>
  <connection id="94" name="Connection1401" type="4" refreshedVersion="0" savePassword="1" background="1" saveData="1">
    <webPr consecutive="1" xl97="1" url="http://quote.yahoo.com/d/quotes.csv?s=XIU.TO+GE+MSFT+GM+F+XOM+CDV.TO+PCTI+OIH+COS-UN.TO+NVDA+^IXIC+^DJI+^IXIC&amp;f=nl1vhgd1r" htmlFormat="all"/>
  </connection>
  <connection id="95" name="Connection141" type="4" refreshedVersion="0" savePassword="1" background="1" saveData="1">
    <webPr consecutive="1" xl97="1" url="http://quote.yahoo.com/d/quotes.csv?s=XIU.TO+GE+MSFT+GM+F+XOM+CDV.TO+PCTI+OIH+COS-UN.TO+NVDA+XIT.TO+^DJI+^IXIC&amp;f=nl1vhgd1r" htmlFormat="all"/>
  </connection>
  <connection id="96" name="Connection1410" type="4" refreshedVersion="0" background="1" saveData="1">
    <webPr url="http://download.finance.yahoo.com/d/quotes.csv?s=^AXJO+bhp.ax+AXP+NAB.AX+BAC+CVX+DD+DIS+GE+HPQ+IBM+INTC+JNJ+JPM+KO+MCD+MMM+MSFT+PG+T+NAB.AX&amp;f=nd1t1l1ohgc1p2j1wryr5m3m8m4m6" htmlFormat="all"/>
  </connection>
  <connection id="97" name="Connection1411" type="4" refreshedVersion="0" savePassword="1" background="1" saveData="1">
    <webPr consecutive="1" xl97="1" url="http://quote.yahoo.com/d/quotes.csv?s=XIU.TO+GE+MSFT+GM+F+XOM+CDV.TO+PCTI+OIH+COS-UN.TO+NVDA+XIT.TO+^DJI+^IXIC&amp;f=nl1vhgd1r" htmlFormat="all"/>
  </connection>
  <connection id="98" name="Connection142" type="4" refreshedVersion="0" savePassword="1" background="1" saveData="1">
    <webPr consecutive="1" xl97="1" url="http://quote.yahoo.com/d/quotes.csv?s=XIU.TO+GE+MSFT+GM+F+XOM+CDV.TO+PCTI+OIH+COS-UN.TO+NVDA+WMT+^DJI+^IXIC&amp;f=nl1vhgd1r" htmlFormat="all"/>
  </connection>
  <connection id="99" name="Connection1421" type="4" refreshedVersion="0" savePassword="1" background="1" saveData="1">
    <webPr consecutive="1" xl97="1" url="http://quote.yahoo.com/d/quotes.csv?s=XIU.TO+GE+MSFT+GM+F+XOM+CDV.TO+PCTI+OIH+COS-UN.TO+NVDA+WMT+^DJI+^IXIC&amp;f=nl1vhgd1r" htmlFormat="all"/>
  </connection>
  <connection id="100" name="Connection143" type="4" refreshedVersion="0" savePassword="1" background="1" saveData="1">
    <webPr consecutive="1" xl97="1" url="http://quote.yahoo.com/d/quotes.csv?s=XIU.TO+GE+MSFT+GM+F+XOM+CDV.TO+PCTI+OIH+COS-UN.TO+EK+WMT+^DJI+^IXIC&amp;f=nl1vhgd1r" htmlFormat="all"/>
  </connection>
  <connection id="101" name="Connection1431" type="4" refreshedVersion="0" savePassword="1" background="1" saveData="1">
    <webPr consecutive="1" xl97="1" url="http://quote.yahoo.com/d/quotes.csv?s=XIU.TO+GE+MSFT+GM+F+XOM+CDV.TO+PCTI+OIH+COS-UN.TO+EK+WMT+^DJI+^IXIC&amp;f=nl1vhgd1r" htmlFormat="all"/>
  </connection>
  <connection id="102" name="Connection144" type="4" refreshedVersion="0" savePassword="1" background="1" saveData="1">
    <webPr consecutive="1" xl97="1" url="http://quote.yahoo.com/d/quotes.csv?s=XIU.TO+GE+MSFT+GM+F+XOM+CDV.TO+PCTI+OIH+COS-UN.TO+CAT+WMT+^DJI+^IXIC&amp;f=nl1vhgd1r" htmlFormat="all"/>
  </connection>
  <connection id="103" name="Connection1441" type="4" refreshedVersion="0" savePassword="1" background="1" saveData="1">
    <webPr consecutive="1" xl97="1" url="http://quote.yahoo.com/d/quotes.csv?s=XIU.TO+GE+MSFT+GM+F+XOM+CDV.TO+PCTI+OIH+COS-UN.TO+CAT+WMT+^DJI+^IXIC&amp;f=nl1vhgd1r" htmlFormat="all"/>
  </connection>
  <connection id="104" name="Connection145" type="4" refreshedVersion="0" savePassword="1" background="1" saveData="1">
    <webPr consecutive="1" xl97="1" url="http://quote.yahoo.com/d/quotes.csv?s=XIU.TO+GE+MSFT+GM+F+XOM+CDV.TO+PCTI+OIH+COS-UN.TO+CAT+WMT+^DJI+^IXIC&amp;f=nl1vhgd1rj4" htmlFormat="all"/>
  </connection>
  <connection id="105" name="Connection1451" type="4" refreshedVersion="0" savePassword="1" background="1" saveData="1">
    <webPr consecutive="1" xl97="1" url="http://quote.yahoo.com/d/quotes.csv?s=XIU.TO+GE+MSFT+GM+F+XOM+CDV.TO+PCTI+OIH+COS-UN.TO+CAT+WMT+^DJI+^IXIC&amp;f=nl1vhgd1rj4" htmlFormat="all"/>
  </connection>
  <connection id="106" name="Connection146" type="4" refreshedVersion="0" savePassword="1" background="1" saveData="1">
    <webPr consecutive="1" xl97="1" url="http://quote.yahoo.com/d/quotes.csv?s=XIU.TO+GE+MSFT+GM+F+XOM+CDV.TO+INTC+OIH+COS-UN.TO+CAT+WMT+^DJI+^IXIC&amp;f=nl1vhgd1rj4" htmlFormat="all"/>
  </connection>
  <connection id="107" name="Connection1461" type="4" refreshedVersion="0" savePassword="1" background="1" saveData="1">
    <webPr consecutive="1" xl97="1" url="http://quote.yahoo.com/d/quotes.csv?s=XIU.TO+GE+MSFT+GM+F+XOM+CDV.TO+INTC+OIH+COS-UN.TO+CAT+WMT+^DJI+^IXIC&amp;f=nl1vhgd1rj4" htmlFormat="all"/>
  </connection>
  <connection id="108" name="Connection147" type="4" refreshedVersion="0" savePassword="1" background="1" saveData="1">
    <webPr consecutive="1" xl97="1" url="http://download.finance.yahoo.com/d/quotes.csv?s=XIU.TO+GE+MSFT+GM+F+XOM+CDV.TO+INTC+OIH+COS-UN.TO+CAT+WMT+^DJI+^IXIC+^GSPTSE&amp;f=nl1vhgd1rm4" htmlFormat="all"/>
  </connection>
  <connection id="109" name="Connection1471" type="4" refreshedVersion="0" savePassword="1" background="1" saveData="1">
    <webPr consecutive="1" xl97="1" url="http://download.finance.yahoo.com/d/quotes.csv?s=XIU.TO+GE+MSFT+GM+F+XOM+CDV.TO+INTC+OIH+COS-UN.TO+CAT+WMT+^DJI+^IXIC+^GSPTSE&amp;f=nl1vhgd1rm4" htmlFormat="all"/>
  </connection>
  <connection id="110" name="Connection148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111" name="Connection1481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112" name="Connection149" type="4" refreshedVersion="0" background="1" saveData="1">
    <webPr url="http://download.finance.yahoo.com/d/quotes.csv?s=^DJI+AA+AXP+BA+BAC+CAT+CSCO+CVX+DD+DIS+GE+HD+HPQ+IBM+INTC+JNJ+JPM+KFT+KO+MCD+MMM+MRK+MSFT+PFE+PG+T+TRV+UTX+VZ+WMT+XOM&amp;f=l1vhgd1rm4n" htmlFormat="all"/>
  </connection>
  <connection id="113" name="Connection1491" type="4" refreshedVersion="0" background="1" saveData="1">
    <webPr url="http://download.finance.yahoo.com/d/quotes.csv?s=^DJI+AA+AXP+BA+BAC+CAT+CSCO+CVX+DD+DIS+GE+HD+HPQ+IBM+INTC+JNJ+JPM+KFT+KO+MCD+MMM+MRK+MSFT+PFE+PG+T+TRV+UTX+VZ+WMT+XOM&amp;f=l1vhgd1rm4n" htmlFormat="all"/>
  </connection>
  <connection id="114" name="Connection15" type="4" refreshedVersion="0" background="1" saveData="1">
    <webPr url="http://download.finance.yahoo.com/d/quotes.csv?s=^AXJO+bhp.ax+AXP+NAB.AX+BAC+CVX+DD+DIS+GE+HPQ+IBM+INTC+JNJ+JPM+KO+MCD+MMM+MSFT+PG+T&amp;f=nd1t1l1ohgc1p2j1wryr5m3m8m4m6" htmlFormat="all"/>
  </connection>
  <connection id="115" name="Connection150" type="4" refreshedVersion="0" background="1" saveData="1">
    <webPr url="http://download.finance.yahoo.com/d/quotes.csv?s=^DJI+AA+AXP+BA+BAC+CAT+CSCO+CVX+DD+DIS+GE+HD+HPQ+IBM+INTC+JNJ+JPM+KFT+KO+MCD+MMM+MRK+MSFT+PFE+PG+T+TRV+UTX+VZ+WMT+XOM&amp;f=nt1l1ohgcj1wryr5m3m8m4m6" htmlFormat="all"/>
  </connection>
  <connection id="116" name="Connection1501" type="4" refreshedVersion="0" background="1" saveData="1">
    <webPr url="http://download.finance.yahoo.com/d/quotes.csv?s=^DJI+AA+AXP+BA+BAC+CAT+CSCO+CVX+DD+DIS+GE+HD+HPQ+IBM+INTC+JNJ+JPM+KFT+KO+MCD+MMM+MRK+MSFT+PFE+PG+T+TRV+UTX+VZ+WMT+XOM&amp;f=nt1l1ohgcj1wryr5m3m8m4m6" htmlFormat="all"/>
  </connection>
  <connection id="117" name="Connection151" type="4" refreshedVersion="0" background="1" saveData="1">
    <webPr url="http://download.finance.yahoo.com/d/quotes.csv?s=^DJI+bhp.ax+AXP+BA+BAC+CAT+CSCO+CVX+DD+DIS+GE+HD+HPQ+IBM+INTC+JNJ+JPM+KFT+KO+MCD+MMM+MRK+MSFT+PFE+PG+T+TRV+UTX+VZ+WMT+XOM&amp;f=nt1l1ohgcj1wryr5m3m8m4m6" htmlFormat="all"/>
  </connection>
  <connection id="118" name="Connection1510" type="4" refreshedVersion="0" background="1" saveData="1">
    <webPr url="http://download.finance.yahoo.com/d/quotes.csv?s=^AXJO+bhp.ax+AXP+NAB.AX+BAC+CVX+DD+DIS+GE+HPQ+IBM+INTC+JNJ+JPM+KO+MCD+MMM+MSFT+PG+T&amp;f=nd1t1l1ohgc1p2j1wryr5m3m8m4m6" htmlFormat="all"/>
  </connection>
  <connection id="119" name="Connection1511" type="4" refreshedVersion="0" background="1" saveData="1">
    <webPr url="http://download.finance.yahoo.com/d/quotes.csv?s=^DJI+bhp.ax+AXP+BA+BAC+CAT+CSCO+CVX+DD+DIS+GE+HD+HPQ+IBM+INTC+JNJ+JPM+KFT+KO+MCD+MMM+MRK+MSFT+PFE+PG+T+TRV+UTX+VZ+WMT+XOM&amp;f=nt1l1ohgcj1wryr5m3m8m4m6" htmlFormat="all"/>
  </connection>
  <connection id="120" name="Connection152" type="4" refreshedVersion="0" background="1" saveData="1">
    <webPr url="http://download.finance.yahoo.com/d/quotes.csv?s=^DJI+bhp.ax+AXP+BA+BAC+CAT+CSCO+CVX+DD+DIS+GE+HD+HPQ+IBM+INTC+JNJ+JPM+KFT+KO+MCD+MMM+MRK+MSFT+PFE+PG+T+TRV+UTX+VZ+WMT+XOM&amp;f=nlohgcj1wryr5m3m8m4m6" htmlFormat="all"/>
  </connection>
  <connection id="121" name="Connection1521" type="4" refreshedVersion="0" background="1" saveData="1">
    <webPr url="http://download.finance.yahoo.com/d/quotes.csv?s=^DJI+bhp.ax+AXP+BA+BAC+CAT+CSCO+CVX+DD+DIS+GE+HD+HPQ+IBM+INTC+JNJ+JPM+KFT+KO+MCD+MMM+MRK+MSFT+PFE+PG+T+TRV+UTX+VZ+WMT+XOM&amp;f=nlohgcj1wryr5m3m8m4m6" htmlFormat="all"/>
  </connection>
  <connection id="122" name="Connection153" type="4" refreshedVersion="0" background="1" saveData="1">
    <webPr url="http://download.finance.yahoo.com/d/quotes.csv?s=^DJI+bhp.ax+AXP+BA+BAC+CAT+CSCO+CVX+DD+DIS+GE+HD+HPQ+IBM+INTC+JNJ+JPM+KFT+KO+MCD+MMM+MRK+MSFT+PFE+PG+T+TRV+UTX+VZ+WMT+XOM&amp;f=nt1ohgcj1wryr5m3m8m4m6" htmlFormat="all"/>
  </connection>
  <connection id="123" name="Connection1531" type="4" refreshedVersion="0" background="1" saveData="1">
    <webPr url="http://download.finance.yahoo.com/d/quotes.csv?s=^DJI+bhp.ax+AXP+BA+BAC+CAT+CSCO+CVX+DD+DIS+GE+HD+HPQ+IBM+INTC+JNJ+JPM+KFT+KO+MCD+MMM+MRK+MSFT+PFE+PG+T+TRV+UTX+VZ+WMT+XOM&amp;f=nt1ohgcj1wryr5m3m8m4m6" htmlFormat="all"/>
  </connection>
  <connection id="124" name="Connection154" type="4" refreshedVersion="0" background="1" saveData="1">
    <webPr url="http://download.finance.yahoo.com/d/quotes.csv?s=^DJI+bhp.ax+AXP+BA+BAC+CAT+CSCO+CVX+DD+DIS+GE+HD+HPQ+IBM+INTC+JNJ+JPM+KFT+KO+MCD+MMM+MRK+MSFT+PFE+PG+T+TRV+UTX+VZ+WMT+XOM&amp;f=nd1t1ohgcj1wryr5m3m8m4m6" htmlFormat="all"/>
  </connection>
  <connection id="125" name="Connection1541" type="4" refreshedVersion="0" background="1" saveData="1">
    <webPr url="http://download.finance.yahoo.com/d/quotes.csv?s=^DJI+bhp.ax+AXP+BA+BAC+CAT+CSCO+CVX+DD+DIS+GE+HD+HPQ+IBM+INTC+JNJ+JPM+KFT+KO+MCD+MMM+MRK+MSFT+PFE+PG+T+TRV+UTX+VZ+WMT+XOM&amp;f=nd1t1ohgcj1wryr5m3m8m4m6" htmlFormat="all"/>
  </connection>
  <connection id="126" name="Connection155" type="4" refreshedVersion="0" background="1" saveData="1">
    <webPr url="http://download.finance.yahoo.com/d/quotes.csv?s=^DJI+bhp.ax+AXP+BA+BAC+CAT+CSCO+CVX+DD+DIS+GE+HD+HPQ+IBM+INTC+JNJ+JPM+KFT+KO+MCD+MMM+MRK+MSFT+PFE+PG+T+TRV+UTX+VZ+WMT+XOM&amp;f=nt1ohgcj1wryr5m3m8m4m6" htmlFormat="all"/>
  </connection>
  <connection id="127" name="Connection1551" type="4" refreshedVersion="0" background="1" saveData="1">
    <webPr url="http://download.finance.yahoo.com/d/quotes.csv?s=^DJI+bhp.ax+AXP+BA+BAC+CAT+CSCO+CVX+DD+DIS+GE+HD+HPQ+IBM+INTC+JNJ+JPM+KFT+KO+MCD+MMM+MRK+MSFT+PFE+PG+T+TRV+UTX+VZ+WMT+XOM&amp;f=nt1ohgcj1wryr5m3m8m4m6" htmlFormat="all"/>
  </connection>
  <connection id="128" name="Connection156" type="4" refreshedVersion="0" background="1" saveData="1">
    <webPr url="http://download.finance.yahoo.com/d/quotes.csv?s=^DJI+bhp.ax+AXP+BA+BAC+CAT+CSCO+CVX+DD+DIS+GE+HD+HPQ+IBM+INTC+JNJ+JPM+KFT+KO+MCD+MMM+MRK+MSFT+PFE+PG+T+TRV+UTX+VZ+WMT+XOM&amp;f=nd1t1l1ohg1p2j1wryr5m3m8m4m6" htmlFormat="all"/>
  </connection>
  <connection id="129" name="Connection1561" type="4" refreshedVersion="0" background="1" saveData="1">
    <webPr url="http://download.finance.yahoo.com/d/quotes.csv?s=^DJI+bhp.ax+AXP+BA+BAC+CAT+CSCO+CVX+DD+DIS+GE+HD+HPQ+IBM+INTC+JNJ+JPM+KFT+KO+MCD+MMM+MRK+MSFT+PFE+PG+T+TRV+UTX+VZ+WMT+XOM&amp;f=nd1t1l1ohg1p2j1wryr5m3m8m4m6" htmlFormat="all"/>
  </connection>
  <connection id="130" name="Connection157" type="4" refreshedVersion="0" background="1" saveData="1">
    <webPr url="http://download.finance.yahoo.com/d/quotes.csv?s=^AXJO+bhp.ax+AXP+BA+BAC+CVX+DD+DIS+GE+HPQ+IBM+INTC+JNJ+JPM+KFT+KO+MCD+MMM+MSFT+PG+T+UTX+VZ+XOM&amp;f=nd1t1l1ohg1p2j1wryr5m3m8m4m6" htmlFormat="all"/>
  </connection>
  <connection id="131" name="Connection1571" type="4" refreshedVersion="0" background="1" saveData="1">
    <webPr url="http://download.finance.yahoo.com/d/quotes.csv?s=^AXJO+bhp.ax+AXP+BA+BAC+CVX+DD+DIS+GE+HPQ+IBM+INTC+JNJ+JPM+KFT+KO+MCD+MMM+MSFT+PG+T+UTX+VZ+XOM&amp;f=nd1t1l1ohg1p2j1wryr5m3m8m4m6" htmlFormat="all"/>
  </connection>
  <connection id="132" name="Connection158" type="4" refreshedVersion="0" background="1" saveData="1">
    <webPr url="http://download.finance.yahoo.com/d/quotes.csv?s=^AXJO+bhp.ax+AXP+BA+BAC+CVX+DD+DIS+GE+HPQ+IBM+INTC+JNJ+JPM+KO+MCD+MMM+MSFT+PG+T+UTX+VZ+XOM&amp;f=nd1t1l1ohgp2j1wryr5m3m8m4m6" htmlFormat="all"/>
  </connection>
  <connection id="133" name="Connection1581" type="4" refreshedVersion="0" background="1" saveData="1">
    <webPr url="http://download.finance.yahoo.com/d/quotes.csv?s=^AXJO+bhp.ax+AXP+BA+BAC+CVX+DD+DIS+GE+HPQ+IBM+INTC+JNJ+JPM+KO+MCD+MMM+MSFT+PG+T+UTX+VZ+XOM&amp;f=nd1t1l1ohgp2j1wryr5m3m8m4m6" htmlFormat="all"/>
  </connection>
  <connection id="134" name="Connection159" type="4" refreshedVersion="0" background="1" saveData="1">
    <webPr url="http://download.finance.yahoo.com/d/quotes.csv?s=^AXJO+bhp.ax+AXP+BA+BAC+CVX+DD+DIS+GE+HPQ+IBM+INTC+JNJ+JPM+KO+MCD+MMM+MSFT+PG+T+UTX+VZ+XOM&amp;f=nd1t1l1ohgc1p2j1wryr5m3m8m4m6" htmlFormat="all"/>
  </connection>
  <connection id="135" name="Connection1591" type="4" refreshedVersion="0" background="1" saveData="1">
    <webPr url="http://download.finance.yahoo.com/d/quotes.csv?s=^AXJO+bhp.ax+AXP+BA+BAC+CVX+DD+DIS+GE+HPQ+IBM+INTC+JNJ+JPM+KO+MCD+MMM+MSFT+PG+T+UTX+VZ+XOM&amp;f=nd1t1l1ohgc1p2j1wryr5m3m8m4m6" htmlFormat="all"/>
  </connection>
  <connection id="136" name="Connection16" type="4" refreshedVersion="0" background="1" saveData="1">
    <webPr url="http://download.finance.yahoo.com/d/quotes.csv?s=^AXJO+bhp.ax+AXP+NAB.AX+BAC+CVX+DD+DIS+GE+HPQ+IBM+INTC+JNJ+JPM+KO+MCD+MMM+MSFT+PG+T+UTX+VZ+XOM&amp;f=nd1t1l1ohgc1p2j1wryr5m3m8m4m6" htmlFormat="all"/>
  </connection>
  <connection id="137" name="Connection16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38" name="Connection160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39" name="Connection16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0" name="Connection1610" type="4" refreshedVersion="0" background="1" saveData="1">
    <webPr url="http://download.finance.yahoo.com/d/quotes.csv?s=^AXJO+bhp.ax+AXP+NAB.AX+BAC+CVX+DD+DIS+GE+HPQ+IBM+INTC+JNJ+JPM+KO+MCD+MMM+MSFT+PG+T+UTX+VZ+XOM&amp;f=nd1t1l1ohgc1p2j1wryr5m3m8m4m6" htmlFormat="all"/>
  </connection>
  <connection id="141" name="Connection161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2" name="Connection162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3" name="Connection162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4" name="Connection163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5" name="Connection163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6" name="Connection164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7" name="Connection164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8" name="Connection165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9" name="Connection165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50" name="Connection166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51" name="Connection166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52" name="Connection167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53" name="Connection167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54" name="Connection168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55" name="Connection168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56" name="Connection169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57" name="Connection169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58" name="Connection17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159" name="Connection170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60" name="Connection170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61" name="Connection17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62" name="Connection1710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163" name="Connection171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64" name="Connection172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65" name="Connection172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66" name="Connection173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67" name="Connection173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68" name="Connection174" type="4" refreshedVersion="0" background="1" saveData="1">
    <webPr url="http://download.finance.yahoo.com/d/quotes.csv?s=^AXJO+^DJI+AXP+NAB.AX+QBE.AX+JBH.AX+AAPL+DIS+GE+HPQ+IBM+INTC+JNJ+JPM+KO+MCD+MMM+MSFT+PG+T+NAB.AX&amp;f=nd1t1l1ohgc1p2wj1ryr5m3m8m4m6" htmlFormat="all"/>
  </connection>
  <connection id="169" name="Connection1741" type="4" refreshedVersion="0" background="1" saveData="1">
    <webPr url="http://download.finance.yahoo.com/d/quotes.csv?s=^AXJO+^DJI+AXP+NAB.AX+QBE.AX+JBH.AX+AAPL+DIS+GE+HPQ+IBM+INTC+JNJ+JPM+KO+MCD+MMM+MSFT+PG+T+NAB.AX&amp;f=nd1t1l1ohgc1p2wj1ryr5m3m8m4m6" htmlFormat="all"/>
  </connection>
  <connection id="170" name="Connection175" type="4" refreshedVersion="0" background="1" saveData="1">
    <webPr url="http://download.finance.yahoo.com/d/quotes.csv?s=^AXJO+^NDX+AXP+NAB.AX+QBE.AX+JBH.AX+AAPL+DIS+GE+HPQ+IBM+INTC+JNJ+JPM+KO+MCD+MMM+MSFT+PG+T+NAB.AX&amp;f=nd1t1l1ohgc1p2wj1ryr5m3m8m4m6" htmlFormat="all"/>
  </connection>
  <connection id="171" name="Connection1751" type="4" refreshedVersion="0" background="1" saveData="1">
    <webPr url="http://download.finance.yahoo.com/d/quotes.csv?s=^AXJO+^NDX+AXP+NAB.AX+QBE.AX+JBH.AX+AAPL+DIS+GE+HPQ+IBM+INTC+JNJ+JPM+KO+MCD+MMM+MSFT+PG+T+NAB.AX&amp;f=nd1t1l1ohgc1p2wj1ryr5m3m8m4m6" htmlFormat="all"/>
  </connection>
  <connection id="172" name="Connection176" type="4" refreshedVersion="0" background="1" saveData="1">
    <webPr url="http://download.finance.yahoo.com/d/quotes.csv?s=^AXJO+^NDX+^FTSE+NAB.AX+QBE.AX+JBH.AX+AAPL+DIS+GE+HPQ+IBM+INTC+JNJ+JPM+KO+MCD+MMM+MSFT+PG+T+NAB.AX&amp;f=nd1t1l1ohgc1p2wj1ryr5m3m8m4m6" htmlFormat="all"/>
  </connection>
  <connection id="173" name="Connection1761" type="4" refreshedVersion="0" background="1" saveData="1">
    <webPr url="http://download.finance.yahoo.com/d/quotes.csv?s=^AXJO+^NDX+^FTSE+NAB.AX+QBE.AX+JBH.AX+AAPL+DIS+GE+HPQ+IBM+INTC+JNJ+JPM+KO+MCD+MMM+MSFT+PG+T+NAB.AX&amp;f=nd1t1l1ohgc1p2wj1ryr5m3m8m4m6" htmlFormat="all"/>
  </connection>
  <connection id="174" name="Connection177" type="4" refreshedVersion="0" background="1" saveData="1">
    <webPr url="http://download.finance.yahoo.com/d/quotes.csv?s=^AXJO+NAB.AX+QBE.AX+JBH.AX+WES.AX+JBH.AX+AAPL+^NDX+AAPL+HPQ+IBM+INTC+JNJ+JPM+KO+MCD+MMM+MSFT+PG+T+NAB.AX&amp;f=nd1t1l1ohgc1p2wj1ryr5m3m8m4m6" htmlFormat="all"/>
  </connection>
  <connection id="175" name="Connection1771" type="4" refreshedVersion="0" background="1" saveData="1">
    <webPr url="http://download.finance.yahoo.com/d/quotes.csv?s=^AXJO+NAB.AX+QBE.AX+JBH.AX+WES.AX+JBH.AX+AAPL+^NDX+AAPL+HPQ+IBM+INTC+JNJ+JPM+KO+MCD+MMM+MSFT+PG+T+NAB.AX&amp;f=nd1t1l1ohgc1p2wj1ryr5m3m8m4m6" htmlFormat="all"/>
  </connection>
  <connection id="176" name="Connection178" type="4" refreshedVersion="0" background="1" saveData="1">
    <webPr url="http://download.finance.yahoo.com/d/quotes.csv?s=^AXJO+NAB.AX+QBE.AX+JBH.AX+WES.AX+JBH.AX+CBA.AX+^NDX+AAPL+HPQ+IBM+INTC+JNJ+^FTSE+VOD+MCD+MMM+MSFT+PG+T+NAB.AX&amp;f=nd1t1l1ohgc1p2wj1ryr5m3m8m4m6" htmlFormat="all"/>
  </connection>
  <connection id="177" name="Connection1781" type="4" refreshedVersion="0" background="1" saveData="1">
    <webPr url="http://download.finance.yahoo.com/d/quotes.csv?s=^AXJO+NAB.AX+QBE.AX+JBH.AX+WES.AX+JBH.AX+CBA.AX+^NDX+AAPL+HPQ+IBM+INTC+JNJ+^FTSE+VOD+MCD+MMM+MSFT+PG+T+NAB.AX&amp;f=nd1t1l1ohgc1p2wj1ryr5m3m8m4m6" htmlFormat="all"/>
  </connection>
  <connection id="178" name="Connection179" type="4" refreshedVersion="0" background="1" saveData="1">
    <webPr url="http://download.finance.yahoo.com/d/quotes.csv?s=^AXJO+NAB.AX+QBE.AX+JBH.AX+WES.AX+JBH.AX+CBA.AX+^NDX+AAPL+HPQ+IBM+INTC+JNJ+^FTSE+VOD+TSCO+SBRY+MSFT+PG+T+NAB.AX&amp;f=nd1t1l1ohgc1p2wj1ryr5m3m8m4m6" htmlFormat="all"/>
  </connection>
  <connection id="179" name="Connection1791" type="4" refreshedVersion="0" background="1" saveData="1">
    <webPr url="http://download.finance.yahoo.com/d/quotes.csv?s=^AXJO+NAB.AX+QBE.AX+JBH.AX+WES.AX+JBH.AX+CBA.AX+^NDX+AAPL+HPQ+IBM+INTC+JNJ+^FTSE+VOD+TSCO+SBRY+MSFT+PG+T+NAB.AX&amp;f=nd1t1l1ohgc1p2wj1ryr5m3m8m4m6" htmlFormat="all"/>
  </connection>
  <connection id="180" name="Connection18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181" name="Connection180" type="4" refreshedVersion="0" background="1" saveData="1">
    <webPr url="http://download.finance.yahoo.com/d/quotes.csv?s=^AXJO+NAB.AX+QBE.AX+JBH.AX+WES.AX+JBH.AX+CBA.AX+^NDX+AAPL+HPQ+IBM+INTC+JNJ+^FTSE+VOD.L+TSCO.L+SBRY.L+MSFT+PG+T+NAB.AX&amp;f=nd1t1l1ohgc1p2wj1ryr5m3m8m4m6" htmlFormat="all"/>
  </connection>
  <connection id="182" name="Connection1801" type="4" refreshedVersion="0" background="1" saveData="1">
    <webPr url="http://download.finance.yahoo.com/d/quotes.csv?s=^AXJO+NAB.AX+QBE.AX+JBH.AX+WES.AX+JBH.AX+CBA.AX+^NDX+AAPL+HPQ+IBM+INTC+JNJ+^FTSE+VOD.L+TSCO.L+SBRY.L+MSFT+PG+T+NAB.AX&amp;f=nd1t1l1ohgc1p2wj1ryr5m3m8m4m6" htmlFormat="all"/>
  </connection>
  <connection id="183" name="Connection181" type="4" refreshedVersion="0" background="1" saveData="1">
    <webPr url="http://download.finance.yahoo.com/d/quotes.csv?s=^AXJO+NAB.AX+QBE.AX+JBH.AX+WES.AX+JBH.AX+CBA.AX+^NDX+AAPL+HPQ+IBM+INTC+JNJ+^FTSE+VOD.L+TSCO.L+MSFT+^FTSE+VOD.L+TSCO.L+SBRY.L&amp;f=nd1t1l1ohgc1p2wj1ryr5m3m8m4m6" htmlFormat="all"/>
  </connection>
  <connection id="184" name="Connection1810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185" name="Connection1811" type="4" refreshedVersion="0" background="1" saveData="1">
    <webPr url="http://download.finance.yahoo.com/d/quotes.csv?s=^AXJO+NAB.AX+QBE.AX+JBH.AX+WES.AX+JBH.AX+CBA.AX+^NDX+AAPL+HPQ+IBM+INTC+JNJ+^FTSE+VOD.L+TSCO.L+MSFT+^FTSE+VOD.L+TSCO.L+SBRY.L&amp;f=nd1t1l1ohgc1p2wj1ryr5m3m8m4m6" htmlFormat="all"/>
  </connection>
  <connection id="186" name="Connection182" type="4" refreshedVersion="0" background="1" saveData="1">
    <webPr url="http://download.finance.yahoo.com/d/quotes.csv?s=^AXJO+NAB.AX+QBE.AX+JBH.AX+WES.AX+JBH.AX+CBA.AX+^NDX+AAPL+HPQ+IBM+INTC+JNJ+WMT+V+DIS+MSFT+^FTSE+VOD.L+TSCO.L+SBRY.L&amp;f=nd1t1l1ohgc1p2wj1ryr5m3m8m4m6" htmlFormat="all"/>
  </connection>
  <connection id="187" name="Connection1821" type="4" refreshedVersion="0" background="1" saveData="1">
    <webPr url="http://download.finance.yahoo.com/d/quotes.csv?s=^AXJO+NAB.AX+QBE.AX+JBH.AX+WES.AX+JBH.AX+CBA.AX+^NDX+AAPL+HPQ+IBM+INTC+JNJ+WMT+V+DIS+MSFT+^FTSE+VOD.L+TSCO.L+SBRY.L&amp;f=nd1t1l1ohgc1p2wj1ryr5m3m8m4m6" htmlFormat="all"/>
  </connection>
  <connection id="188" name="Connection183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89" name="Connection183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0" name="Connection184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1" name="Connection184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2" name="Connection185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3" name="Connection185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4" name="Connection186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5" name="Connection186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6" name="Connection187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7" name="Connection187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8" name="Connection188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9" name="Connection188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00" name="Connection189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01" name="Connection189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02" name="Connection19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203" name="Connection190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04" name="Connection190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05" name="Connection19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06" name="Connection1910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207" name="Connection191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08" name="Connection192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09" name="Connection192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10" name="Connection193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211" name="Connection1931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212" name="Connection194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213" name="Connection1941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214" name="Connection195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215" name="Connection1951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216" name="Connection196" type="4" refreshedVersion="0" background="1" saveData="1">
    <webPr url="http://download.finance.yahoo.com/d/quotes.csv?s=wmt+gs+vrsn+nov+meg+ups+lee+^NDX+AAPL+HPQ+IBM+INTC+foxa+MCD+V+DIS+MSFT+^FTSE+VOD.L+TSCO.L+SBRY.L&amp;f=nd1t1l1ohgc1p2wj1ryr5m3m8m4m6" htmlFormat="all"/>
  </connection>
  <connection id="217" name="Connection1961" type="4" refreshedVersion="0" background="1" saveData="1">
    <webPr url="http://download.finance.yahoo.com/d/quotes.csv?s=wmt+gs+vrsn+nov+meg+ups+lee+^NDX+AAPL+HPQ+IBM+INTC+foxa+MCD+V+DIS+MSFT+^FTSE+VOD.L+TSCO.L+SBRY.L&amp;f=nd1t1l1ohgc1p2wj1ryr5m3m8m4m6" htmlFormat="all"/>
  </connection>
  <connection id="218" name="Connection197" type="4" refreshedVersion="0" background="1" saveData="1">
    <webPr url="http://download.finance.yahoo.com/d/quotes.csv?s=wmt+gs+vrsn+nov+meg+ups+lee+^NDX+AAPL+HPQ+IBM+INTC+nab.ax+MCD+V+DIS+MSFT+^FTSE+VOD.L+TSCO.L+SBRY.L&amp;f=nd1t1l1ohgc1p2wj1ryr5m3m8m4m6" htmlFormat="all"/>
  </connection>
  <connection id="219" name="Connection1971" type="4" refreshedVersion="0" background="1" saveData="1">
    <webPr url="http://download.finance.yahoo.com/d/quotes.csv?s=wmt+gs+vrsn+nov+meg+ups+lee+^NDX+AAPL+HPQ+IBM+INTC+nab.ax+MCD+V+DIS+MSFT+^FTSE+VOD.L+TSCO.L+SBRY.L&amp;f=nd1t1l1ohgc1p2wj1ryr5m3m8m4m6" htmlFormat="all"/>
  </connection>
  <connection id="220" name="Connection198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21" name="Connection198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22" name="Connection199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23" name="Connection199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24" name="Connection2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25" name="Connection20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26" name="Connection200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27" name="Connection200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28" name="Connection20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29" name="Connection2010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30" name="Connection201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31" name="Connection202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32" name="Connection202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33" name="Connection203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34" name="Connection203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35" name="Connection204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36" name="Connection204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37" name="Connection205" type="4" refreshedVersion="4" background="1" saveData="1">
    <webPr xl2000="1" url="http://download.finance.yahoo.com/d/quotes.csv?s=wmt+gs+vrsn+nov+meg+ups+lee+^NDX+AAPL+HPQ+IBM+INTC+nab.ax+MCD+V+DIS+MSFT+^FTSE+VOD.L+TSCO.L+SBRY.L+bhp.ax&amp;f=nd1t1l1ohgc1p2wj1ryr5m3m8m4m6" htmlFormat="all"/>
  </connection>
  <connection id="238" name="Connection2051" type="4" refreshedVersion="4" background="1" saveData="1">
    <webPr xl2000="1" url="http://download.finance.yahoo.com/d/quotes.csv?s=wmt+gs+vrsn+nov+meg+ups+lee+^NDX+AAPL+HPQ+IBM+INTC+nab.ax+MCD+V+DIS+MSFT+^FTSE+VOD.L+TSCO.L+SBRY.L+bhp.ax&amp;f=nd1t1l1ohgc1p2wj1ryr5m3m8m4m6" htmlFormat="all"/>
  </connection>
  <connection id="239" name="Connection206" type="4" refreshedVersion="4" background="1" saveData="1">
    <webPr xl2000="1" url="http://download.finance.yahoo.com/d/quotes.csv?s=wmt+gs+vrsn+nov+meg+ups+lee+^NDX+AAPL+HPQ+IBM+INTC+nab.ax+MCD+V+DIS+MSFT+^FTSE+VOD.L+TSCO.L+SBRY.L+bhp.ax&amp;f=nd1t1l1ohgc1p2wj1ryr5m3m8m4m6" htmlFormat="all"/>
  </connection>
  <connection id="240" name="Connection2061" type="4" refreshedVersion="4" background="1" saveData="1">
    <webPr xl2000="1" url="http://download.finance.yahoo.com/d/quotes.csv?s=wmt+gs+vrsn+nov+meg+ups+lee+^NDX+AAPL+HPQ+IBM+INTC+nab.ax+MCD+V+DIS+MSFT+^FTSE+VOD.L+TSCO.L+SBRY.L+bhp.ax&amp;f=nd1t1l1ohgc1p2wj1ryr5m3m8m4m6" htmlFormat="all"/>
  </connection>
  <connection id="241" name="Connection207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ohgc1p2wj1ryr5m3m8m4m6" htmlFormat="all"/>
  </connection>
  <connection id="242" name="Connection207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ohgc1p2wj1ryr5m3m8m4m6" htmlFormat="all"/>
  </connection>
  <connection id="243" name="Connection208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ohgc1p2wj1ryr5m3m8m4m6" htmlFormat="all"/>
  </connection>
  <connection id="244" name="Connection208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ohgc1p2wj1ryr5m3m8m4m6" htmlFormat="all"/>
  </connection>
  <connection id="245" name="Connection209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246" name="Connection209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247" name="Connection2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48" name="Connection210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249" name="Connection210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250" name="Connection21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251" name="Connection211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252" name="Connection212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253" name="Connection212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254" name="Connection213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k5j6jkj1ryr5ej4t8m3m8m4m6" htmlFormat="all"/>
  </connection>
  <connection id="255" name="Connection213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k5j6jkj1ryr5ej4t8m3m8m4m6" htmlFormat="all"/>
  </connection>
  <connection id="256" name="Connection214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57" name="Connection215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58" name="Connection216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59" name="Connection217" type="4" refreshedVersion="6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60" name="Connection218" type="4" refreshedVersion="6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61" name="Connection219" type="4" refreshedVersion="4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62" name="Connection22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63" name="Connection220" type="4" refreshedVersion="4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64" name="Connection22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65" name="Connection222" type="4" refreshedVersion="4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66" name="Connection223" type="4" refreshedVersion="4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67" name="Connection224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68" name="Connection225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69" name="Connection226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70" name="Connection227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71" name="Connection228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72" name="Connection229" type="4" refreshedVersion="6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a2ohgl1k3c1p2vp2" htmlFormat="all"/>
  </connection>
  <connection id="273" name="Connection23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74" name="Connection230" type="4" refreshedVersion="6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a2l1k3vp" htmlFormat="all"/>
  </connection>
  <connection id="275" name="Connection23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76" name="Connection232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a2l1k3vp" htmlFormat="all"/>
  </connection>
  <connection id="277" name="Connection233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a2l1k3vp" htmlFormat="all"/>
  </connection>
  <connection id="278" name="Connection234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a2l1k3vp" htmlFormat="all"/>
  </connection>
  <connection id="279" name="Connection235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a2l1k3vp" htmlFormat="all"/>
  </connection>
  <connection id="280" name="Connection236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a2l1k3vp" htmlFormat="all"/>
  </connection>
  <connection id="281" name="Connection237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a2l1k3vp" htmlFormat="all"/>
  </connection>
  <connection id="282" name="Connection238" type="4" refreshedVersion="6" background="1" saveData="1">
    <webPr xl2000="1" url="http://download.finance.yahoo.com/d/quotes.csv?s=GBT+CAT+8IH+MAQ+PMP+TCH+VLW+CII+CMA+ALI+EDE+CDA+PDN+SDG+RHL+PAY+MOY+BBG+ADH+GNG+MNY+CGL+ONE+IDX+AVJ+GTK+PIC+AMH+VAS+IFM+DTL+TIL+TGP+MGC+AQG+PEA+SHJ+ADA+SOM+ABA+BLK+TRS+WLL+SMN+FRI+IMD+SEA+SEH+CLQ+CVC+MLB+MUA+DRM+NMT+CDV+BGL+ENN+LYC+IGL+EMC+GOW+BFG+PPS+CTN+COE+RCT+RBL+ERA+NWH+AJX+AFY+RKN+HOM+GEG+EMF+CLH+DCG+BNO+TRY+OVH+KSC+CDU+AJD+AUF+WTP+CZZ+KSL+EZL+PNV+EGH+ONT+OCL+TZN+IBK+EVO+KDR+TOF+AGF+DWS+ATU+WAF+MTO+SMR+AJM+MRN+CCV+FSA+RDV+GCY+88E+QUAL+BSE+3PL+BKY+AIK+UPD+IIL+RFX+MP1+TPE+BAF+ELX+TWR+PNR+LOM+NZK+GZL+BSA+KGN+RWH+CMP+UBA+AHX+HIL+AVB+PGC+AJL+EGS+AFA+RND+FLK+MVW+MML+SSG+NBL+SEN+RHP+APD+ADJ+OBJ+GRR+1AL+MEA+SGH+BLY+ZML+NZM+OTW+RXP+ITQ+BCK+TIG+SHM+CGS+VGB+CVN+HAV+YOW+WIC+BFC+LAU+WXOZ+USG+FWD+AGO+CDC+AQC+TOP+NNW+TTC+FND+MJP+SDI+GAP+BBOZ+MBE+IOZ+VGAD+BLG+XIP+LHB+MCP+PHG+AVG+MXI+APZ+GVF+TNG+AGD+RUL+MAH+OPT+IAA+AWN+PPG+TAM+RAN+LYL+EAI+S2R+PRT+RCB+SMX+ORL+OSP+PAN+MRM+PAC+BTI+EMR+SFH+TER+TWD&amp;f=nd1t1l1f6ohgc1p2k5j6jkj1ryr5ej4t8m3m8m4m6a2l1k3vp" htmlFormat="all"/>
  </connection>
  <connection id="283" name="Connection239" type="4" refreshedVersion="6" background="1" saveData="1">
    <webPr xl2000="1" url="http://download.finance.yahoo.com/d/quotes.csv?s=GBT.ax+CAT.ax+8IH.ax+MAQ.ax+PMP.ax+TCH.ax+VLW.ax+CII.ax+CMA.ax+ALI.ax+EDE.ax+CDA.ax+PDN.ax+SDG.ax+RHL.ax+PAY.ax+MOY.ax+BBG.ax+ADH.ax+GNG.ax+MNY.ax+CGL.ax+ONE.ax+IDX.ax+AVJ.ax+GTK.ax+PIC.ax+AMH.ax+VAS.ax+IFM.ax+DTL.ax+TIL.ax+TGP.ax+MGC.ax+AQG.ax+PEA.ax+SHJ.ax+ADA.ax+SOM.ax+ABA.ax+BLK.ax+TRS.ax+WLL.ax+SMN.ax+FRI.ax+IMD.ax+SEA.ax+SEH.ax+CLQ.ax+CVC.ax+MLB.ax+MUA.ax+DRM.ax+NMT.ax+CDV.ax+BGL.ax+ENN.ax+LYC.ax+IGL.ax+EMC.ax+GOW.ax+BFG.ax+PPS.ax+CTN.ax+COE.ax+RCT.ax+RBL.ax+ERA.ax+NWH.ax+AJX.ax+AFY.ax+RKN.ax+HOM.ax+GEG.ax+EMF.ax+CLH.ax+DCG.ax+BNO.ax+TRY.ax+OVH.ax+KSC.ax+CDU.ax+AJD.ax+AUF.ax+WTP.ax+CZZ.ax+KSL.ax+EZL.ax+PNV.ax+EGH.ax+ONT.ax+OCL.ax+TZN.ax+IBK.ax+EVO.ax+KDR.ax+TOF.ax+AGF.ax+DWS.ax+ATU.ax+WAF.ax+MTO.ax+SMR.ax+AJM.ax+MRN.ax+CCV.ax+FSA.ax+RDV.ax+GCY.ax+88E.ax+QUAL.ax+BSE.ax+3PL.ax+BKY.ax+AIK.ax+UPD.ax+IIL.ax+RFX.ax+MP1.ax+TPE.ax+BAF.ax+ELX.ax+TWR.ax+PNR.ax+LOM.ax+NZK.ax+GZL.ax+BSA.ax+KGN.ax+RWH.ax+CMP.ax+UBA.ax+AHX.ax+HIL.ax+AVB.ax+PGC.ax+AJL.ax+EGS.ax+AFA.ax+RND.ax+FLK.ax+MVW.ax+MML.ax+SSG.ax+NBL.ax+SEN.ax+RHP.ax+APD.ax+ADJ.ax+OBJ.ax+GRR.ax+1AL.ax+MEA.ax+SGH.ax+BLY.ax+ZML.ax+NZM.ax+OTW.ax+RXP.ax+ITQ.ax+BCK.ax+TIG.ax+SHM.ax+CGS.ax+VGB.ax+CVN.ax+HAV.ax+YOW.ax+WIC.ax+BFC.ax+LAU.ax+WXOZ.ax+USG.ax+FWD.ax+AGO.ax+CDC.ax+AQC.ax+TOP.ax+NNW.ax+TTC.ax+FND.ax+MJP.ax+SDI.ax+GAP.ax+BBOZ.ax+MBE.ax+IOZ.ax+VGAD.ax+BLG.ax+XIP.ax+LHB.ax+MCP.ax+PHG.ax+AVG.ax+MXI.ax+APZ.ax+GVF.ax+TNG.ax+AGD.ax+RUL.ax+MAH.ax+OPT.ax+IAA.ax+AWN.ax+PPG.ax+TAM.ax+RAN.ax+LYL.ax+EAI.ax+S2R.ax+PRT.ax+RCB.ax+SMX.ax+ORL.ax+OSP.ax+PAN.ax+MRM.ax+PAC.ax+BTI.ax+EMR.ax+SFH.ax+TER.ax+TWD.ax&amp;f=nd1t1l1f6ohgc1p2k5j6jkj1ryr5ej4t8m3m8m4m6a2l1k3vp" htmlFormat="all"/>
  </connection>
  <connection id="284" name="Connection24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85" name="Connection24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86" name="Connection25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87" name="Connection25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88" name="Connection26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89" name="Connection26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90" name="Connection27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91" name="Connection27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92" name="Connection28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93" name="Connection28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94" name="Connection29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95" name="Connection29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96" name="Connection3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97" name="Connection30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98" name="Connection30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99" name="Connection31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300" name="Connection3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01" name="Connection311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302" name="Connection32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303" name="Connection321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304" name="Connection33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305" name="Connection331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306" name="Connection34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307" name="Connection341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308" name="Connection35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309" name="Connection351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310" name="Connection36" type="4" refreshedVersion="0" savePassword="1" background="1" saveData="1">
    <webPr consecutive="1" xl97="1" url="http://download.finance.yahoo.com/d/quotes.csv?s=XIU.TO+GE+MSFT+GM+F+XOM+CDV.TO+INTC+OIH+COS-UN.TO+CAT+WMT+^DJI+^IXIC+^GSPTSE&amp;f=nl1vhgd1rm4n" htmlFormat="all"/>
  </connection>
  <connection id="311" name="Connection361" type="4" refreshedVersion="0" savePassword="1" background="1" saveData="1">
    <webPr consecutive="1" xl97="1" url="http://download.finance.yahoo.com/d/quotes.csv?s=XIU.TO+GE+MSFT+GM+F+XOM+CDV.TO+INTC+OIH+COS-UN.TO+CAT+WMT+^DJI+^IXIC+^GSPTSE&amp;f=nl1vhgd1rm4n" htmlFormat="all"/>
  </connection>
  <connection id="312" name="Connection37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13" name="Connection37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14" name="Connection38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15" name="Connection38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16" name="Connection39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17" name="Connection39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18" name="Connection4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19" name="Connection40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20" name="Connection40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21" name="Connection4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22" name="Connection4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23" name="Connection41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24" name="Connection42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25" name="Connection42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26" name="Connection43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27" name="Connection43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28" name="Connection44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29" name="Connection44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30" name="Connection45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31" name="Connection45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32" name="Connection46" type="4" refreshedVersion="0" savePassword="1" background="1" saveData="1">
    <webPr consecutive="1" xl97="1" url="http://finance.yahoo.com/d/quotes.csv?s=GE+MSFT" htmlTables="1" htmlFormat="all"/>
  </connection>
  <connection id="333" name="Connection461" type="4" refreshedVersion="0" savePassword="1" background="1" saveData="1">
    <webPr consecutive="1" xl97="1" url="http://finance.yahoo.com/d/quotes.csv?s=GE+MSFT" htmlTables="1" htmlFormat="all"/>
  </connection>
  <connection id="334" name="Connection47" type="4" refreshedVersion="0" savePassword="1" background="1" saveData="1">
    <webPr consecutive="1" xl97="1" url="http://finance.yahoo.com/d/quotes.csv?s=GE+MSFTf=n" htmlTables="1" htmlFormat="all"/>
  </connection>
  <connection id="335" name="Connection471" type="4" refreshedVersion="0" savePassword="1" background="1" saveData="1">
    <webPr consecutive="1" xl97="1" url="http://finance.yahoo.com/d/quotes.csv?s=GE+MSFTf=n" htmlTables="1" htmlFormat="all"/>
  </connection>
  <connection id="336" name="Connection48" type="4" refreshedVersion="0" savePassword="1" background="1" saveData="1">
    <webPr consecutive="1" xl97="1" url="http://finance.yahoo.com/d/quotes.csv?s=GE+MSFTf=n" htmlTables="1" htmlFormat="all"/>
  </connection>
  <connection id="337" name="Connection481" type="4" refreshedVersion="0" savePassword="1" background="1" saveData="1">
    <webPr consecutive="1" xl97="1" url="http://finance.yahoo.com/d/quotes.csv?s=GE+MSFTf=n" htmlTables="1" htmlFormat="all"/>
  </connection>
  <connection id="338" name="Connection49" type="4" refreshedVersion="0" savePassword="1" background="1" saveData="1">
    <webPr consecutive="1" xl97="1" url="http://finance.yahoo.com/d/quotes.csv?s=GE+MSFT&amp;f=nl1" htmlTables="1" htmlFormat="all"/>
  </connection>
  <connection id="339" name="Connection491" type="4" refreshedVersion="0" savePassword="1" background="1" saveData="1">
    <webPr consecutive="1" xl97="1" url="http://finance.yahoo.com/d/quotes.csv?s=GE+MSFT&amp;f=nl1" htmlTables="1" htmlFormat="all"/>
  </connection>
  <connection id="340" name="Connection5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41" name="Connection50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42" name="Connection50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43" name="Connection5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44" name="Connection5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45" name="Connection51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46" name="Connection52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47" name="Connection52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48" name="Connection53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49" name="Connection53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50" name="Connection54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51" name="Connection54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52" name="Connection55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53" name="Connection55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54" name="Connection56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55" name="Connection56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56" name="Connection57" type="4" refreshedVersion="0" savePassword="1" background="1" saveData="1">
    <webPr consecutive="1" xl97="1" url="http://finance.yahoo.com/d/quotes.csv?s=GE+MSFT+BBDb.TO+PXLW+XOM+GNSS+CDV.TO+F+T+GM+MSO+IBM&amp;f=nl1" htmlTables="1" htmlFormat="all"/>
  </connection>
  <connection id="357" name="Connection571" type="4" refreshedVersion="0" savePassword="1" background="1" saveData="1">
    <webPr consecutive="1" xl97="1" url="http://finance.yahoo.com/d/quotes.csv?s=GE+MSFT+BBDb.TO+PXLW+XOM+GNSS+CDV.TO+F+T+GM+MSO+IBM&amp;f=nl1" htmlTables="1" htmlFormat="all"/>
  </connection>
  <connection id="358" name="Connection58" type="4" refreshedVersion="0" savePassword="1" background="1" saveData="1">
    <webPr consecutive="1" xl97="1" url="http://finance.yahoo.com/d/quotes.csv?s=GE+MSFT+BBDb.TO+PXLW+XOM+GNSS+CDV.TO+F+T+GM+MSO+IBM&amp;f=nl1r" htmlTables="1" htmlFormat="all"/>
  </connection>
  <connection id="359" name="Connection581" type="4" refreshedVersion="0" savePassword="1" background="1" saveData="1">
    <webPr consecutive="1" xl97="1" url="http://finance.yahoo.com/d/quotes.csv?s=GE+MSFT+BBDb.TO+PXLW+XOM+GNSS+CDV.TO+F+T+GM+MSO+IBM&amp;f=nl1r" htmlTables="1" htmlFormat="all"/>
  </connection>
  <connection id="360" name="Connection59" type="4" refreshedVersion="0" savePassword="1" background="1" saveData="1">
    <webPr consecutive="1" xl97="1" url="http://quote.yahoo.com/d/quotes.csv?s=XIU.TO+GE+MSFT+GM+F+XOM+CDV.TO+INTC+OIH+COS-UN.TO+CAT+WMT+^DJI+^IXIC+^GSPTSE&amp;f=nl1vhgd1rm4" htmlFormat="all"/>
  </connection>
  <connection id="361" name="Connection591" type="4" refreshedVersion="0" savePassword="1" background="1" saveData="1">
    <webPr consecutive="1" xl97="1" url="http://quote.yahoo.com/d/quotes.csv?s=XIU.TO+GE+MSFT+GM+F+XOM+CDV.TO+INTC+OIH+COS-UN.TO+CAT+WMT+^DJI+^IXIC+^GSPTSE&amp;f=nl1vhgd1rm4" htmlFormat="all"/>
  </connection>
  <connection id="362" name="Connection6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63" name="Connection60" type="4" refreshedVersion="0" savePassword="1" background="1" saveData="1">
    <webPr consecutive="1" xl97="1" url="http://quote.yahoo.com/d/quotes.csv?s=XIU.TO+GE+MSFT+GM+F+XOM+CDV.TO+INTC+OIH+COS-UN.TO+CAT+WMT+^DJI+^IXIC+^GSPTSE&amp;f=nl1vhgd1rj4" htmlFormat="all"/>
  </connection>
  <connection id="364" name="Connection601" type="4" refreshedVersion="0" savePassword="1" background="1" saveData="1">
    <webPr consecutive="1" xl97="1" url="http://quote.yahoo.com/d/quotes.csv?s=XIU.TO+GE+MSFT+GM+F+XOM+CDV.TO+INTC+OIH+COS-UN.TO+CAT+WMT+^DJI+^IXIC+^GSPTSE&amp;f=nl1vhgd1rj4" htmlFormat="all"/>
  </connection>
  <connection id="365" name="Connection61" type="4" refreshedVersion="0" savePassword="1" background="1" saveData="1">
    <webPr consecutive="1" xl97="1" url="http://quote.yahoo.com/d/quotes.csv?s=XIU.TO+GE+MSFT+GM+F+XOM+CDV.TO+INTC+OIH+COS-UN.TO+CAT+WMT+^DJI+^IXIC&amp;f=nl1vhgd1rj4" htmlFormat="all"/>
  </connection>
  <connection id="366" name="Connection6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67" name="Connection611" type="4" refreshedVersion="0" savePassword="1" background="1" saveData="1">
    <webPr consecutive="1" xl97="1" url="http://quote.yahoo.com/d/quotes.csv?s=XIU.TO+GE+MSFT+GM+F+XOM+CDV.TO+INTC+OIH+COS-UN.TO+CAT+WMT+^DJI+^IXIC&amp;f=nl1vhgd1rj4" htmlFormat="all"/>
  </connection>
  <connection id="368" name="Connection62" type="4" refreshedVersion="0" savePassword="1" background="1" saveData="1">
    <webPr consecutive="1" xl97="1" url="http://quote.yahoo.com/d/quotes.csv?s=XIU.TO+PXLW+BBDb.TO+XIT.TO+LBRT.PK+COR.TO+CDV.TO+PCTI+MSFT+GE&amp;f=nl1vhgd1" htmlFormat="all"/>
  </connection>
  <connection id="369" name="Connection621" type="4" refreshedVersion="0" savePassword="1" background="1" saveData="1">
    <webPr consecutive="1" xl97="1" url="http://quote.yahoo.com/d/quotes.csv?s=XIU.TO+PXLW+BBDb.TO+XIT.TO+LBRT.PK+COR.TO+CDV.TO+PCTI+MSFT+GE&amp;f=nl1vhgd1" htmlFormat="all"/>
  </connection>
  <connection id="370" name="Connection63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371" name="Connection63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372" name="Connection64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373" name="Connection641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374" name="Connection65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375" name="Connection651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376" name="Connection66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377" name="Connection661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378" name="Connection67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379" name="Connection671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380" name="Connection68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81" name="Connection68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82" name="Connection69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83" name="Connection69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84" name="Connection7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85" name="Connection70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86" name="Connection70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87" name="Connection7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88" name="Connection7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89" name="Connection71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90" name="Connection72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91" name="Connection72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92" name="Connection73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93" name="Connection73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94" name="Connection74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95" name="Connection74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96" name="Connection75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97" name="Connection75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98" name="Connection76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99" name="Connection76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400" name="Connection77" type="4" refreshedVersion="0" savePassword="1" background="1" saveData="1">
    <webPr consecutive="1" xl97="1" url="http://finance.yahoo.com/d/quotes.csv?s=GE+MSFT+BBDb.TO+PXLW+XOM+GNSS+CDV.TO+F+T+GM+MSO+IBM+IMX.TO&amp;f=nl1rx" htmlFormat="all"/>
  </connection>
  <connection id="401" name="Connection771" type="4" refreshedVersion="0" savePassword="1" background="1" saveData="1">
    <webPr consecutive="1" xl97="1" url="http://finance.yahoo.com/d/quotes.csv?s=GE+MSFT+BBDb.TO+PXLW+XOM+GNSS+CDV.TO+F+T+GM+MSO+IBM+IMX.TO&amp;f=nl1rx" htmlFormat="all"/>
  </connection>
  <connection id="402" name="Connection78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403" name="Connection781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404" name="Connection79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405" name="Connection791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406" name="Connection8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407" name="Connection80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408" name="Connection801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409" name="Connection81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410" name="Connection8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411" name="Connection811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412" name="Connection82" type="4" refreshedVersion="0" savePassword="1" background="1" saveData="1">
    <webPr consecutive="1" xl97="1" url="http://finance.yahoo.com/d/quotes.csv?s=GE+MSFT+BBDb.TO+PXLW+XOM+GNSS+CDV.TO+F+T+GM+MSO+IBM&amp;f=nl1rd1" htmlFormat="all"/>
  </connection>
  <connection id="413" name="Connection821" type="4" refreshedVersion="0" savePassword="1" background="1" saveData="1">
    <webPr consecutive="1" xl97="1" url="http://finance.yahoo.com/d/quotes.csv?s=GE+MSFT+BBDb.TO+PXLW+XOM+GNSS+CDV.TO+F+T+GM+MSO+IBM&amp;f=nl1rd1" htmlFormat="all"/>
  </connection>
  <connection id="414" name="Connection83" type="4" refreshedVersion="0" savePassword="1" background="1" saveData="1">
    <webPr consecutive="1" xl97="1" url="http://finance.yahoo.com/d/quotes.csv?s=GE+MSFT+BBDb.TO+PXLW+XOM+GNSS+CDV.TO+F+T+GM+MSO+IBM&amp;f=nl1rd1" htmlFormat="all"/>
  </connection>
  <connection id="415" name="Connection831" type="4" refreshedVersion="0" savePassword="1" background="1" saveData="1">
    <webPr consecutive="1" xl97="1" url="http://finance.yahoo.com/d/quotes.csv?s=GE+MSFT+BBDb.TO+PXLW+XOM+GNSS+CDV.TO+F+T+GM+MSO+IBM&amp;f=nl1rd1" htmlFormat="all"/>
  </connection>
  <connection id="416" name="Connection84" type="4" refreshedVersion="0" savePassword="1" background="1" saveData="1">
    <webPr consecutive="1" xl97="1" url="http://finance.yahoo.com/d/quotes.csv?s=GE+MSFT+BBDb.TO+PXLW+XOM+GNSS+CDV.TO+F+T+GM+MSO+IBM&amp;f=nl1rd1" htmlFormat="all"/>
  </connection>
  <connection id="417" name="Connection841" type="4" refreshedVersion="0" savePassword="1" background="1" saveData="1">
    <webPr consecutive="1" xl97="1" url="http://finance.yahoo.com/d/quotes.csv?s=GE+MSFT+BBDb.TO+PXLW+XOM+GNSS+CDV.TO+F+T+GM+MSO+IBM&amp;f=nl1rd1" htmlFormat="all"/>
  </connection>
  <connection id="418" name="Connection85" type="4" refreshedVersion="0" savePassword="1" background="1" saveData="1">
    <webPr consecutive="1" xl97="1" url="http://finance.yahoo.com/d/quotes.csv?s=GE+MSFT+BBDb.TO+PXLW+XOM+GNSS+CDV.TO+F+T+GM+MSO+IBM&amp;f=nl1rj1" htmlFormat="all"/>
  </connection>
  <connection id="419" name="Connection851" type="4" refreshedVersion="0" savePassword="1" background="1" saveData="1">
    <webPr consecutive="1" xl97="1" url="http://finance.yahoo.com/d/quotes.csv?s=GE+MSFT+BBDb.TO+PXLW+XOM+GNSS+CDV.TO+F+T+GM+MSO+IBM&amp;f=nl1rj1" htmlFormat="all"/>
  </connection>
  <connection id="420" name="Connection86" type="4" refreshedVersion="0" savePassword="1" background="1" saveData="1">
    <webPr consecutive="1" xl97="1" url="http://finance.yahoo.com/d/quotes.csv?s=GE+MSFT+BBDb.TO+PXLW+XOM+GNSS+CDV.TO+F+T+GM+MSO+IBM&amp;f=nl1rj1" htmlFormat="all"/>
  </connection>
  <connection id="421" name="Connection861" type="4" refreshedVersion="0" savePassword="1" background="1" saveData="1">
    <webPr consecutive="1" xl97="1" url="http://finance.yahoo.com/d/quotes.csv?s=GE+MSFT+BBDb.TO+PXLW+XOM+GNSS+CDV.TO+F+T+GM+MSO+IBM&amp;f=nl1rj1" htmlFormat="all"/>
  </connection>
  <connection id="422" name="Connection87" type="4" refreshedVersion="0" savePassword="1" background="1" saveData="1">
    <webPr consecutive="1" xl97="1" url="http://finance.yahoo.com/d/quotes.csv?s=GE+MSFT+BBDb.TO+PXLW+XOM+GNSS+CDV.TO+F+T+GM+MSO+IBM&amp;f=nl1rj1" htmlFormat="all"/>
  </connection>
  <connection id="423" name="Connection871" type="4" refreshedVersion="0" savePassword="1" background="1" saveData="1">
    <webPr consecutive="1" xl97="1" url="http://finance.yahoo.com/d/quotes.csv?s=GE+MSFT+BBDb.TO+PXLW+XOM+GNSS+CDV.TO+F+T+GM+MSO+IBM&amp;f=nl1rj1" htmlFormat="all"/>
  </connection>
  <connection id="424" name="Connection88" type="4" refreshedVersion="0" savePassword="1" background="1" saveData="1">
    <webPr consecutive="1" xl97="1" url="http://finance.yahoo.com/d/quotes.csv?s=GE+MSFT+BBDb.TO+PXLW+XOM+GNSS+CDV.TO+F+T+GM+MSO+IBM&amp;f=nl1rj1" htmlFormat="all"/>
  </connection>
  <connection id="425" name="Connection881" type="4" refreshedVersion="0" savePassword="1" background="1" saveData="1">
    <webPr consecutive="1" xl97="1" url="http://finance.yahoo.com/d/quotes.csv?s=GE+MSFT+BBDb.TO+PXLW+XOM+GNSS+CDV.TO+F+T+GM+MSO+IBM&amp;f=nl1rj1" htmlFormat="all"/>
  </connection>
  <connection id="426" name="Connection89" type="4" refreshedVersion="0" savePassword="1" background="1" saveData="1">
    <webPr consecutive="1" xl97="1" url="http://finance.yahoo.com/d/quotes.csv?s=GE+MSFT+BBDb.TO+PXLW+XOM+GNSS+CDV.TO+F+T+GM+MSO+IBM&amp;f=nl1rs" htmlFormat="all"/>
  </connection>
  <connection id="427" name="Connection891" type="4" refreshedVersion="0" savePassword="1" background="1" saveData="1">
    <webPr consecutive="1" xl97="1" url="http://finance.yahoo.com/d/quotes.csv?s=GE+MSFT+BBDb.TO+PXLW+XOM+GNSS+CDV.TO+F+T+GM+MSO+IBM&amp;f=nl1rs" htmlFormat="all"/>
  </connection>
  <connection id="428" name="Connection9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429" name="Connection90" type="4" refreshedVersion="0" savePassword="1" background="1" saveData="1">
    <webPr consecutive="1" xl97="1" url="http://finance.yahoo.com/d/quotes.csv?s=GE+MSFT+BBDb.TO+PXLW+XOM+GNSS+CDV.TO+F+T+GM+MSO+IBM&amp;f=nl1rs" htmlFormat="all"/>
  </connection>
  <connection id="430" name="Connection901" type="4" refreshedVersion="0" savePassword="1" background="1" saveData="1">
    <webPr consecutive="1" xl97="1" url="http://finance.yahoo.com/d/quotes.csv?s=GE+MSFT+BBDb.TO+PXLW+XOM+GNSS+CDV.TO+F+T+GM+MSO+IBM&amp;f=nl1rs" htmlFormat="all"/>
  </connection>
  <connection id="431" name="Connection91" type="4" refreshedVersion="0" savePassword="1" background="1" saveData="1">
    <webPr consecutive="1" xl97="1" url="http://finance.yahoo.com/d/quotes.csv?s=GE+MSFT+BBDb.TO+PXLW+XOM+GNSS+CDV.TO+F+T+GM+MSO+IBM&amp;f=nl1r" htmlFormat="all"/>
  </connection>
  <connection id="432" name="Connection9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433" name="Connection911" type="4" refreshedVersion="0" savePassword="1" background="1" saveData="1">
    <webPr consecutive="1" xl97="1" url="http://finance.yahoo.com/d/quotes.csv?s=GE+MSFT+BBDb.TO+PXLW+XOM+GNSS+CDV.TO+F+T+GM+MSO+IBM&amp;f=nl1r" htmlFormat="all"/>
  </connection>
  <connection id="434" name="Connection92" type="4" refreshedVersion="0" savePassword="1" background="1" saveData="1">
    <webPr consecutive="1" xl97="1" url="http://finance.yahoo.com/d/quotes.csv?s=GE+MSFT+BBDb.TO+PXLW+XOM+GNSS+CDV.TO+F+T+GM+MSO+IBM&amp;f=nl1r" htmlFormat="all"/>
  </connection>
  <connection id="435" name="Connection921" type="4" refreshedVersion="0" savePassword="1" background="1" saveData="1">
    <webPr consecutive="1" xl97="1" url="http://finance.yahoo.com/d/quotes.csv?s=GE+MSFT+BBDb.TO+PXLW+XOM+GNSS+CDV.TO+F+T+GM+MSO+IBM&amp;f=nl1r" htmlFormat="all"/>
  </connection>
  <connection id="436" name="Connection93" type="4" refreshedVersion="0" savePassword="1" background="1" saveData="1">
    <webPr consecutive="1" xl97="1" url="http://finance.yahoo.com/d/quotes.csv?s=GE+MSFT+BBDb.TO+PXLW+XOM+GNSS+CDV.TO+F+T+GM+MSO+IBM&amp;f=nl1r" htmlFormat="all"/>
  </connection>
  <connection id="437" name="Connection931" type="4" refreshedVersion="0" savePassword="1" background="1" saveData="1">
    <webPr consecutive="1" xl97="1" url="http://finance.yahoo.com/d/quotes.csv?s=GE+MSFT+BBDb.TO+PXLW+XOM+GNSS+CDV.TO+F+T+GM+MSO+IBM&amp;f=nl1r" htmlFormat="all"/>
  </connection>
  <connection id="438" name="Connection94" type="4" refreshedVersion="0" savePassword="1" background="1" saveData="1">
    <webPr consecutive="1" xl97="1" url="http://finance.yahoo.com/d/quotes.csv?s=GE+MSFT+BBDb.TO+PXLW+XOM+GNSS+CDV.TO+F+T+GM+MSO+IBM&amp;f=nl1r" htmlFormat="all"/>
  </connection>
  <connection id="439" name="Connection941" type="4" refreshedVersion="0" savePassword="1" background="1" saveData="1">
    <webPr consecutive="1" xl97="1" url="http://finance.yahoo.com/d/quotes.csv?s=GE+MSFT+BBDb.TO+PXLW+XOM+GNSS+CDV.TO+F+T+GM+MSO+IBM&amp;f=nl1r" htmlFormat="all"/>
  </connection>
  <connection id="440" name="Connection95" type="4" refreshedVersion="0" savePassword="1" background="1" saveData="1">
    <webPr consecutive="1" xl97="1" url="http://finance.yahoo.com/d/quotes.csv?s=GE+MSFT+BBDb.TO+PXLW+XOM+GNSS+CDV.TO+F+T+GM+MSO+IBM&amp;f=nl1r" htmlFormat="all"/>
  </connection>
  <connection id="441" name="Connection951" type="4" refreshedVersion="0" savePassword="1" background="1" saveData="1">
    <webPr consecutive="1" xl97="1" url="http://finance.yahoo.com/d/quotes.csv?s=GE+MSFT+BBDb.TO+PXLW+XOM+GNSS+CDV.TO+F+T+GM+MSO+IBM&amp;f=nl1r" htmlFormat="all"/>
  </connection>
  <connection id="442" name="Connection96" type="4" refreshedVersion="0" savePassword="1" background="1" saveData="1">
    <webPr consecutive="1" xl97="1" url="http://finance.yahoo.com/d/quotes.csv?s=GE+MSFT+BBDb.TO+PXLW+XOM+GNSS+CDV.TO+F+T+GM+MSO+IBM&amp;f=nl1r" htmlFormat="all"/>
  </connection>
  <connection id="443" name="Connection961" type="4" refreshedVersion="0" savePassword="1" background="1" saveData="1">
    <webPr consecutive="1" xl97="1" url="http://finance.yahoo.com/d/quotes.csv?s=GE+MSFT+BBDb.TO+PXLW+XOM+GNSS+CDV.TO+F+T+GM+MSO+IBM&amp;f=nl1r" htmlFormat="all"/>
  </connection>
  <connection id="444" name="Connection97" type="4" refreshedVersion="0" savePassword="1" background="1" saveData="1">
    <webPr consecutive="1" xl97="1" url="http://finance.yahoo.com/d/quotes.csv?s=GE+MSFT+BBDb.TO+PXLW+XOM+GNSS+CDV.TO+F+T+GM+MSO+IBM&amp;f=nl1r" htmlFormat="all"/>
  </connection>
  <connection id="445" name="Connection971" type="4" refreshedVersion="0" savePassword="1" background="1" saveData="1">
    <webPr consecutive="1" xl97="1" url="http://finance.yahoo.com/d/quotes.csv?s=GE+MSFT+BBDb.TO+PXLW+XOM+GNSS+CDV.TO+F+T+GM+MSO+IBM&amp;f=nl1r" htmlFormat="all"/>
  </connection>
  <connection id="446" name="Connection98" type="4" refreshedVersion="0" savePassword="1" background="1" saveData="1">
    <webPr consecutive="1" xl97="1" url="http://finance.yahoo.com/d/quotes.csv?s=GE+MSFT+BBDb.TO+PXLW+XOM+GNSS+CDV.TO+F+T+GM+MSO+IBM&amp;f=nl1r" htmlFormat="all"/>
  </connection>
  <connection id="447" name="Connection981" type="4" refreshedVersion="0" savePassword="1" background="1" saveData="1">
    <webPr consecutive="1" xl97="1" url="http://finance.yahoo.com/d/quotes.csv?s=GE+MSFT+BBDb.TO+PXLW+XOM+GNSS+CDV.TO+F+T+GM+MSO+IBM&amp;f=nl1r" htmlFormat="all"/>
  </connection>
  <connection id="448" name="Connection99" type="4" refreshedVersion="0" savePassword="1" background="1" saveData="1">
    <webPr consecutive="1" xl97="1" url="http://finance.yahoo.com/d/quotes.csv?s=GE+MSFT+BBDb.TO+PXLW+XOM+GNSS+CDV.TO+F+T+GM+MSO+IBM&amp;f=nl1r" htmlFormat="all"/>
  </connection>
  <connection id="449" name="Connection991" type="4" refreshedVersion="0" savePassword="1" background="1" saveData="1">
    <webPr consecutive="1" xl97="1" url="http://finance.yahoo.com/d/quotes.csv?s=GE+MSFT+BBDb.TO+PXLW+XOM+GNSS+CDV.TO+F+T+GM+MSO+IBM&amp;f=nl1r" htmlFormat="all"/>
  </connection>
</connections>
</file>

<file path=xl/sharedStrings.xml><?xml version="1.0" encoding="utf-8"?>
<sst xmlns="http://schemas.openxmlformats.org/spreadsheetml/2006/main" count="2250" uniqueCount="1313">
  <si>
    <t>URL =</t>
  </si>
  <si>
    <t>Yahoo tags =</t>
  </si>
  <si>
    <t>Date</t>
  </si>
  <si>
    <t>N/A</t>
  </si>
  <si>
    <t>Code</t>
  </si>
  <si>
    <t>Last</t>
  </si>
  <si>
    <t>Open</t>
  </si>
  <si>
    <t>High</t>
  </si>
  <si>
    <t>Low</t>
  </si>
  <si>
    <t>Change</t>
  </si>
  <si>
    <t>PE</t>
  </si>
  <si>
    <t>Div Yield</t>
  </si>
  <si>
    <t>PEG</t>
  </si>
  <si>
    <t>% Diff</t>
  </si>
  <si>
    <t>Company</t>
  </si>
  <si>
    <t>Time</t>
  </si>
  <si>
    <t>NAT. BANK FPO</t>
  </si>
  <si>
    <t>Market Cap.</t>
  </si>
  <si>
    <t>% Chg</t>
  </si>
  <si>
    <t>VALUATION</t>
  </si>
  <si>
    <t>FUNDAMENTALS</t>
  </si>
  <si>
    <t>TECHNICAL</t>
  </si>
  <si>
    <t>DETAILS</t>
  </si>
  <si>
    <t>DATA</t>
  </si>
  <si>
    <t>50day MA</t>
  </si>
  <si>
    <t>200day MA</t>
  </si>
  <si>
    <t>4:10pm</t>
  </si>
  <si>
    <t>BHP BLT FPO</t>
  </si>
  <si>
    <t>AGL ENERGY FPO</t>
  </si>
  <si>
    <t>11.93B</t>
  </si>
  <si>
    <t>AMCOR FPO</t>
  </si>
  <si>
    <t>17.32B</t>
  </si>
  <si>
    <t>AMP FPO</t>
  </si>
  <si>
    <t>15.43B</t>
  </si>
  <si>
    <t>ANZ BANK FPO</t>
  </si>
  <si>
    <t>79.46B</t>
  </si>
  <si>
    <t>APA GROUP STAPLED</t>
  </si>
  <si>
    <t>9.69B</t>
  </si>
  <si>
    <t>ASX FPO</t>
  </si>
  <si>
    <t>9.24B</t>
  </si>
  <si>
    <t>AURIZON FPO</t>
  </si>
  <si>
    <t>9.38B</t>
  </si>
  <si>
    <t>114.43B</t>
  </si>
  <si>
    <t>BRAMB LTD FPO</t>
  </si>
  <si>
    <t>18.95B</t>
  </si>
  <si>
    <t>CWLTH BANK FPO</t>
  </si>
  <si>
    <t>124.39B</t>
  </si>
  <si>
    <t>CC AMATIL FPO</t>
  </si>
  <si>
    <t>7.69B</t>
  </si>
  <si>
    <t>CSHARE FPO</t>
  </si>
  <si>
    <t>5.64B</t>
  </si>
  <si>
    <t>CSL FPO</t>
  </si>
  <si>
    <t>49.36B</t>
  </si>
  <si>
    <t>CALTEX FPO</t>
  </si>
  <si>
    <t>8.80B</t>
  </si>
  <si>
    <t>DEXUS PROP STAPLED</t>
  </si>
  <si>
    <t>8.86B</t>
  </si>
  <si>
    <t>GOOD GROUP STAPLED</t>
  </si>
  <si>
    <t>13.00B</t>
  </si>
  <si>
    <t>GPT STAPLED</t>
  </si>
  <si>
    <t>9.12B</t>
  </si>
  <si>
    <t>INSUR.AUST FPO</t>
  </si>
  <si>
    <t>13.19B</t>
  </si>
  <si>
    <t>INCITEC PV FPO</t>
  </si>
  <si>
    <t>4.64B</t>
  </si>
  <si>
    <t>J HARDIE CDI 1:1</t>
  </si>
  <si>
    <t>9.08B</t>
  </si>
  <si>
    <t>LEND LEASE STAPLED</t>
  </si>
  <si>
    <t>7.52B</t>
  </si>
  <si>
    <t>MIRVAC GRP STAPLED</t>
  </si>
  <si>
    <t>8.25B</t>
  </si>
  <si>
    <t>MEDIBANK FPO</t>
  </si>
  <si>
    <t>6.64B</t>
  </si>
  <si>
    <t>MACQ GROUP FPO</t>
  </si>
  <si>
    <t>26.49B</t>
  </si>
  <si>
    <t>72.34B</t>
  </si>
  <si>
    <t>NEWCREST FPO</t>
  </si>
  <si>
    <t>17.59B</t>
  </si>
  <si>
    <t>ORIGIN ENE FPO</t>
  </si>
  <si>
    <t>ORICA FPO</t>
  </si>
  <si>
    <t>5.49B</t>
  </si>
  <si>
    <t>OIL SEARCH FPO 10T</t>
  </si>
  <si>
    <t>9.94B</t>
  </si>
  <si>
    <t>QANTAS FPO</t>
  </si>
  <si>
    <t>6.04B</t>
  </si>
  <si>
    <t>QBE INSUR. FPO</t>
  </si>
  <si>
    <t>12.84B</t>
  </si>
  <si>
    <t>RAMSAY FPO</t>
  </si>
  <si>
    <t>16.06B</t>
  </si>
  <si>
    <t>RIO TINTO FPO</t>
  </si>
  <si>
    <t>89.96B</t>
  </si>
  <si>
    <t>SOUTH32 FPO</t>
  </si>
  <si>
    <t>12.72B</t>
  </si>
  <si>
    <t>SCENTRE STAPLED</t>
  </si>
  <si>
    <t>25.44B</t>
  </si>
  <si>
    <t>SEEK FPO</t>
  </si>
  <si>
    <t>5.34B</t>
  </si>
  <si>
    <t>STOCKLAND. STAPLED</t>
  </si>
  <si>
    <t>11.27B</t>
  </si>
  <si>
    <t>SONIC HLTH FPO</t>
  </si>
  <si>
    <t>9.15B</t>
  </si>
  <si>
    <t>SANTOS FPO</t>
  </si>
  <si>
    <t>6.25B</t>
  </si>
  <si>
    <t>SUNCORP FPO</t>
  </si>
  <si>
    <t>15.64B</t>
  </si>
  <si>
    <t>SYDAIRPORT FORUS</t>
  </si>
  <si>
    <t>TRANSURBAN STAPLED</t>
  </si>
  <si>
    <t>22.82B</t>
  </si>
  <si>
    <t>TELSTRA FPO</t>
  </si>
  <si>
    <t>62.38B</t>
  </si>
  <si>
    <t>TREA WINE FPO</t>
  </si>
  <si>
    <t>8.08B</t>
  </si>
  <si>
    <t>VICINITY STAPLED</t>
  </si>
  <si>
    <t>12.59B</t>
  </si>
  <si>
    <t>WESTPAC FPO</t>
  </si>
  <si>
    <t>99.67B</t>
  </si>
  <si>
    <t>WESFARMER FPO</t>
  </si>
  <si>
    <t>49.52B</t>
  </si>
  <si>
    <t>WESTFIELDC STAPLED</t>
  </si>
  <si>
    <t>20.66B</t>
  </si>
  <si>
    <t>WOOLWORTHS FPO</t>
  </si>
  <si>
    <t>28.71B</t>
  </si>
  <si>
    <t>WOODSIDE FPO</t>
  </si>
  <si>
    <t>22.49B</t>
  </si>
  <si>
    <t>1.65B</t>
  </si>
  <si>
    <t>1.38B</t>
  </si>
  <si>
    <t>2.78B</t>
  </si>
  <si>
    <t>1.33B</t>
  </si>
  <si>
    <t>706.60M</t>
  </si>
  <si>
    <t>1.40B</t>
  </si>
  <si>
    <t>11.47B</t>
  </si>
  <si>
    <t>1.56B</t>
  </si>
  <si>
    <t>910.60M</t>
  </si>
  <si>
    <t>428.78M</t>
  </si>
  <si>
    <t>1.64B</t>
  </si>
  <si>
    <t>941.14M</t>
  </si>
  <si>
    <t>1.14B</t>
  </si>
  <si>
    <t>747.90M</t>
  </si>
  <si>
    <t>451.10M</t>
  </si>
  <si>
    <t>1.32B</t>
  </si>
  <si>
    <t>759.50M</t>
  </si>
  <si>
    <t>441.30M</t>
  </si>
  <si>
    <t>680.50M</t>
  </si>
  <si>
    <t>708.00M</t>
  </si>
  <si>
    <t>572.80M</t>
  </si>
  <si>
    <t>1.25B</t>
  </si>
  <si>
    <t>864.20M</t>
  </si>
  <si>
    <t>849.93M</t>
  </si>
  <si>
    <t>2.60B</t>
  </si>
  <si>
    <t>1.21B</t>
  </si>
  <si>
    <t>1.20B</t>
  </si>
  <si>
    <t>8.45B</t>
  </si>
  <si>
    <t>975.00M</t>
  </si>
  <si>
    <t>346.60M</t>
  </si>
  <si>
    <t>712.00M</t>
  </si>
  <si>
    <t>815.27M</t>
  </si>
  <si>
    <t>-658.22M</t>
  </si>
  <si>
    <t>3.24B</t>
  </si>
  <si>
    <t>1.05B</t>
  </si>
  <si>
    <t>9.54B</t>
  </si>
  <si>
    <t>414.40M</t>
  </si>
  <si>
    <t>867.60M</t>
  </si>
  <si>
    <t>4.34B</t>
  </si>
  <si>
    <t>3.59B</t>
  </si>
  <si>
    <t>2.74B</t>
  </si>
  <si>
    <t>shares</t>
  </si>
  <si>
    <t>52wL</t>
  </si>
  <si>
    <t>52wH</t>
  </si>
  <si>
    <t>%52wL</t>
  </si>
  <si>
    <t>%52wH</t>
  </si>
  <si>
    <t>eps</t>
  </si>
  <si>
    <t>ebitda</t>
  </si>
  <si>
    <t>1yrTarget</t>
  </si>
  <si>
    <t xml:space="preserve"> </t>
  </si>
  <si>
    <t>avg3mtVol</t>
  </si>
  <si>
    <t>close</t>
  </si>
  <si>
    <t>Cvol</t>
  </si>
  <si>
    <t>Vol</t>
  </si>
  <si>
    <t>PrevClose</t>
  </si>
  <si>
    <t>nd1t1l1f6ohgc1p2k5j6jkj1ryr5ej4t8m3m8m4m6a2l1k3vp</t>
  </si>
  <si>
    <t>3:59pm</t>
  </si>
  <si>
    <t>3:58pm</t>
  </si>
  <si>
    <t>GBT.ax</t>
  </si>
  <si>
    <t>CAT.ax</t>
  </si>
  <si>
    <t>8IH.ax</t>
  </si>
  <si>
    <t>MAQ.ax</t>
  </si>
  <si>
    <t>PMP.ax</t>
  </si>
  <si>
    <t>TCH.ax</t>
  </si>
  <si>
    <t>VLW.ax</t>
  </si>
  <si>
    <t>CII.ax</t>
  </si>
  <si>
    <t>CMA.ax</t>
  </si>
  <si>
    <t>ALI.ax</t>
  </si>
  <si>
    <t>EDE.ax</t>
  </si>
  <si>
    <t>CDA.ax</t>
  </si>
  <si>
    <t>PDN.ax</t>
  </si>
  <si>
    <t>SDG.ax</t>
  </si>
  <si>
    <t>RHL.ax</t>
  </si>
  <si>
    <t>PAY.ax</t>
  </si>
  <si>
    <t>MOY.ax</t>
  </si>
  <si>
    <t>BBG.ax</t>
  </si>
  <si>
    <t>ADH.ax</t>
  </si>
  <si>
    <t>GNG.ax</t>
  </si>
  <si>
    <t>MNY.ax</t>
  </si>
  <si>
    <t>CGL.ax</t>
  </si>
  <si>
    <t>ONE.ax</t>
  </si>
  <si>
    <t>IDX.ax</t>
  </si>
  <si>
    <t>AVJ.ax</t>
  </si>
  <si>
    <t>GTK.ax</t>
  </si>
  <si>
    <t>PIC.ax</t>
  </si>
  <si>
    <t>AMH.ax</t>
  </si>
  <si>
    <t>VAS.ax</t>
  </si>
  <si>
    <t>IFM.ax</t>
  </si>
  <si>
    <t>DTL.ax</t>
  </si>
  <si>
    <t>TIL.ax</t>
  </si>
  <si>
    <t>TGP.ax</t>
  </si>
  <si>
    <t>MGC.ax</t>
  </si>
  <si>
    <t>AQG.ax</t>
  </si>
  <si>
    <t>PEA.ax</t>
  </si>
  <si>
    <t>SHJ.ax</t>
  </si>
  <si>
    <t>ADA.ax</t>
  </si>
  <si>
    <t>SOM.ax</t>
  </si>
  <si>
    <t>ABA.ax</t>
  </si>
  <si>
    <t>BLK.ax</t>
  </si>
  <si>
    <t>TRS.ax</t>
  </si>
  <si>
    <t>WLL.ax</t>
  </si>
  <si>
    <t>SMN.ax</t>
  </si>
  <si>
    <t>FRI.ax</t>
  </si>
  <si>
    <t>IMD.ax</t>
  </si>
  <si>
    <t>SEA.ax</t>
  </si>
  <si>
    <t>SEH.ax</t>
  </si>
  <si>
    <t>CLQ.ax</t>
  </si>
  <si>
    <t>CVC.ax</t>
  </si>
  <si>
    <t>MLB.ax</t>
  </si>
  <si>
    <t>MUA.ax</t>
  </si>
  <si>
    <t>DRM.ax</t>
  </si>
  <si>
    <t>NMT.ax</t>
  </si>
  <si>
    <t>CDV.ax</t>
  </si>
  <si>
    <t>BGL.ax</t>
  </si>
  <si>
    <t>ENN.ax</t>
  </si>
  <si>
    <t>LYC.ax</t>
  </si>
  <si>
    <t>IGL.ax</t>
  </si>
  <si>
    <t>EMC.ax</t>
  </si>
  <si>
    <t>GOW.ax</t>
  </si>
  <si>
    <t>BFG.ax</t>
  </si>
  <si>
    <t>PPS.ax</t>
  </si>
  <si>
    <t>CTN.ax</t>
  </si>
  <si>
    <t>COE.ax</t>
  </si>
  <si>
    <t>RCT.ax</t>
  </si>
  <si>
    <t>RBL.ax</t>
  </si>
  <si>
    <t>ERA.ax</t>
  </si>
  <si>
    <t>NWH.ax</t>
  </si>
  <si>
    <t>AJX.ax</t>
  </si>
  <si>
    <t>AFY.ax</t>
  </si>
  <si>
    <t>RKN.ax</t>
  </si>
  <si>
    <t>HOM.ax</t>
  </si>
  <si>
    <t>GEG.ax</t>
  </si>
  <si>
    <t>EMF.ax</t>
  </si>
  <si>
    <t>CLH.ax</t>
  </si>
  <si>
    <t>DCG.ax</t>
  </si>
  <si>
    <t>BNO.ax</t>
  </si>
  <si>
    <t>TRY.ax</t>
  </si>
  <si>
    <t>OVH.ax</t>
  </si>
  <si>
    <t>KSC.ax</t>
  </si>
  <si>
    <t>CDU.ax</t>
  </si>
  <si>
    <t>AJD.ax</t>
  </si>
  <si>
    <t>AUF.ax</t>
  </si>
  <si>
    <t>WTP.ax</t>
  </si>
  <si>
    <t>CZZ.ax</t>
  </si>
  <si>
    <t>KSL.ax</t>
  </si>
  <si>
    <t>EZL.ax</t>
  </si>
  <si>
    <t>PNV.ax</t>
  </si>
  <si>
    <t>EGH.ax</t>
  </si>
  <si>
    <t>ONT.ax</t>
  </si>
  <si>
    <t>OCL.ax</t>
  </si>
  <si>
    <t>TZN.ax</t>
  </si>
  <si>
    <t>IBK.ax</t>
  </si>
  <si>
    <t>EVO.ax</t>
  </si>
  <si>
    <t>KDR.ax</t>
  </si>
  <si>
    <t>TOF.ax</t>
  </si>
  <si>
    <t>AGF.ax</t>
  </si>
  <si>
    <t>DWS.ax</t>
  </si>
  <si>
    <t>ATU.ax</t>
  </si>
  <si>
    <t>WAF.ax</t>
  </si>
  <si>
    <t>MTO.ax</t>
  </si>
  <si>
    <t>SMR.ax</t>
  </si>
  <si>
    <t>AJM.ax</t>
  </si>
  <si>
    <t>MRN.ax</t>
  </si>
  <si>
    <t>CCV.ax</t>
  </si>
  <si>
    <t>FSA.ax</t>
  </si>
  <si>
    <t>RDV.ax</t>
  </si>
  <si>
    <t>GCY.ax</t>
  </si>
  <si>
    <t>88E.ax</t>
  </si>
  <si>
    <t>QUAL.ax</t>
  </si>
  <si>
    <t>BSE.ax</t>
  </si>
  <si>
    <t>3PL.ax</t>
  </si>
  <si>
    <t>BKY.ax</t>
  </si>
  <si>
    <t>AIK.ax</t>
  </si>
  <si>
    <t>UPD.ax</t>
  </si>
  <si>
    <t>IIL.ax</t>
  </si>
  <si>
    <t>RFX.ax</t>
  </si>
  <si>
    <t>MP1.ax</t>
  </si>
  <si>
    <t>TPE.ax</t>
  </si>
  <si>
    <t>BAF.ax</t>
  </si>
  <si>
    <t>ELX.ax</t>
  </si>
  <si>
    <t>TWR.ax</t>
  </si>
  <si>
    <t>PNR.ax</t>
  </si>
  <si>
    <t>LOM.ax</t>
  </si>
  <si>
    <t>NZK.ax</t>
  </si>
  <si>
    <t>GZL.ax</t>
  </si>
  <si>
    <t>BSA.ax</t>
  </si>
  <si>
    <t>KGN.ax</t>
  </si>
  <si>
    <t>RWH.ax</t>
  </si>
  <si>
    <t>CMP.ax</t>
  </si>
  <si>
    <t>UBA.ax</t>
  </si>
  <si>
    <t>AHX.ax</t>
  </si>
  <si>
    <t>HIL.ax</t>
  </si>
  <si>
    <t>AVB.ax</t>
  </si>
  <si>
    <t>PGC.ax</t>
  </si>
  <si>
    <t>AJL.ax</t>
  </si>
  <si>
    <t>EGS.ax</t>
  </si>
  <si>
    <t>AFA.ax</t>
  </si>
  <si>
    <t>RND.ax</t>
  </si>
  <si>
    <t>FLK.ax</t>
  </si>
  <si>
    <t>MVW.ax</t>
  </si>
  <si>
    <t>MML.ax</t>
  </si>
  <si>
    <t>SSG.ax</t>
  </si>
  <si>
    <t>NBL.ax</t>
  </si>
  <si>
    <t>SEN.ax</t>
  </si>
  <si>
    <t>RHP.ax</t>
  </si>
  <si>
    <t>APD.ax</t>
  </si>
  <si>
    <t>ADJ.ax</t>
  </si>
  <si>
    <t>OBJ.ax</t>
  </si>
  <si>
    <t>GRR.ax</t>
  </si>
  <si>
    <t>1AL.ax</t>
  </si>
  <si>
    <t>MEA.ax</t>
  </si>
  <si>
    <t>SGH.ax</t>
  </si>
  <si>
    <t>BLY.ax</t>
  </si>
  <si>
    <t>ZML.ax</t>
  </si>
  <si>
    <t>NZM.ax</t>
  </si>
  <si>
    <t>OTW.ax</t>
  </si>
  <si>
    <t>RXP.ax</t>
  </si>
  <si>
    <t>ITQ.ax</t>
  </si>
  <si>
    <t>BCK.ax</t>
  </si>
  <si>
    <t>TIG.ax</t>
  </si>
  <si>
    <t>SHM.ax</t>
  </si>
  <si>
    <t>CGS.ax</t>
  </si>
  <si>
    <t>VGB.ax</t>
  </si>
  <si>
    <t>CVN.ax</t>
  </si>
  <si>
    <t>HAV.ax</t>
  </si>
  <si>
    <t>YOW.ax</t>
  </si>
  <si>
    <t>WIC.ax</t>
  </si>
  <si>
    <t>BFC.ax</t>
  </si>
  <si>
    <t>LAU.ax</t>
  </si>
  <si>
    <t>WXOZ.ax</t>
  </si>
  <si>
    <t>USG.ax</t>
  </si>
  <si>
    <t>FWD.ax</t>
  </si>
  <si>
    <t>AGO.ax</t>
  </si>
  <si>
    <t>CDC.ax</t>
  </si>
  <si>
    <t>AQC.ax</t>
  </si>
  <si>
    <t>TOP.ax</t>
  </si>
  <si>
    <t>NNW.ax</t>
  </si>
  <si>
    <t>TTC.ax</t>
  </si>
  <si>
    <t>FND.ax</t>
  </si>
  <si>
    <t>MJP.ax</t>
  </si>
  <si>
    <t>SDI.ax</t>
  </si>
  <si>
    <t>GAP.ax</t>
  </si>
  <si>
    <t>BBOZ.ax</t>
  </si>
  <si>
    <t>MBE.ax</t>
  </si>
  <si>
    <t>IOZ.ax</t>
  </si>
  <si>
    <t>VGAD.ax</t>
  </si>
  <si>
    <t>BLG.ax</t>
  </si>
  <si>
    <t>XIP.ax</t>
  </si>
  <si>
    <t>LHB.ax</t>
  </si>
  <si>
    <t>MCP.ax</t>
  </si>
  <si>
    <t>PHG.ax</t>
  </si>
  <si>
    <t>AVG.ax</t>
  </si>
  <si>
    <t>MXI.ax</t>
  </si>
  <si>
    <t>APZ.ax</t>
  </si>
  <si>
    <t>GVF.ax</t>
  </si>
  <si>
    <t>TNG.ax</t>
  </si>
  <si>
    <t>AGD.ax</t>
  </si>
  <si>
    <t>RUL.ax</t>
  </si>
  <si>
    <t>MAH.ax</t>
  </si>
  <si>
    <t>OPT.ax</t>
  </si>
  <si>
    <t>IAA.ax</t>
  </si>
  <si>
    <t>AWN.ax</t>
  </si>
  <si>
    <t>PPG.ax</t>
  </si>
  <si>
    <t>TAM.ax</t>
  </si>
  <si>
    <t>RAN.ax</t>
  </si>
  <si>
    <t>LYL.ax</t>
  </si>
  <si>
    <t>EAI.ax</t>
  </si>
  <si>
    <t>S2R.ax</t>
  </si>
  <si>
    <t>PRT.ax</t>
  </si>
  <si>
    <t>RCB.ax</t>
  </si>
  <si>
    <t>SMX.ax</t>
  </si>
  <si>
    <t>ORL.ax</t>
  </si>
  <si>
    <t>OSP.ax</t>
  </si>
  <si>
    <t>PAN.ax</t>
  </si>
  <si>
    <t>MRM.ax</t>
  </si>
  <si>
    <t>PAC.ax</t>
  </si>
  <si>
    <t>BTI.ax</t>
  </si>
  <si>
    <t>EMR.ax</t>
  </si>
  <si>
    <t>SFH.ax</t>
  </si>
  <si>
    <t>TER.ax</t>
  </si>
  <si>
    <t>TWD.ax</t>
  </si>
  <si>
    <t>http://download.finance.yahoo.com/d/quotes.csv?s=GBT.ax+CAT.ax+8IH.ax+MAQ.ax+PMP.ax+TCH.ax+VLW.ax+CII.ax+CMA.ax+ALI.ax+EDE.ax+CDA.ax+PDN.ax+SDG.ax+RHL.ax+PAY.ax+MOY.ax+BBG.ax+ADH.ax+GNG.ax+MNY.ax+CGL.ax+ONE.ax+IDX.ax+AVJ.ax+GTK.ax+PIC.ax+AMH.ax+VAS.ax+IFM.ax+DTL.ax+TIL.ax+TGP.ax+MGC.ax+AQG.ax+PEA.ax+SHJ.ax+ADA.ax+SOM.ax+ABA.ax+BLK.ax+TRS.ax+WLL.ax+SMN.ax+FRI.ax+IMD.ax+SEA.ax+SEH.ax+CLQ.ax+CVC.ax+MLB.ax+MUA.ax+DRM.ax+NMT.ax+CDV.ax+BGL.ax+ENN.ax+LYC.ax+IGL.ax+EMC.ax+GOW.ax+BFG.ax+PPS.ax+CTN.ax+COE.ax+RCT.ax+RBL.ax+ERA.ax+NWH.ax+AJX.ax+AFY.ax+RKN.ax+HOM.ax+GEG.ax+EMF.ax+CLH.ax+DCG.ax+BNO.ax+TRY.ax+OVH.ax+KSC.ax+CDU.ax+AJD.ax+AUF.ax+WTP.ax+CZZ.ax+KSL.ax+EZL.ax+PNV.ax+EGH.ax+ONT.ax+OCL.ax+TZN.ax+IBK.ax+EVO.ax+KDR.ax+TOF.ax+AGF.ax+DWS.ax+ATU.ax+WAF.ax+MTO.ax+SMR.ax+AJM.ax+MRN.ax+CCV.ax+FSA.ax+RDV.ax+GCY.ax+88E.ax+QUAL.ax+BSE.ax+3PL.ax+BKY.ax+AIK.ax+UPD.ax+IIL.ax+RFX.ax+MP1.ax+TPE.ax+BAF.ax+ELX.ax+TWR.ax+PNR.ax+LOM.ax+NZK.ax+GZL.ax+BSA.ax+KGN.ax+RWH.ax+CMP.ax+UBA.ax+AHX.ax+HIL.ax+AVB.ax+PGC.ax+AJL.ax+EGS.ax+AFA.ax+RND.ax+FLK.ax+MVW.ax+MML.ax+SSG.ax+NBL.ax+SEN.ax+RHP.ax+APD.ax+ADJ.ax+OBJ.ax+GRR.ax+1AL.ax+MEA.ax+SGH.ax+BLY.ax+ZML.ax+NZM.ax+OTW.ax+RXP.ax+ITQ.ax+BCK.ax+TIG.ax+SHM.ax+CGS.ax+VGB.ax+CVN.ax+HAV.ax+YOW.ax+WIC.ax+BFC.ax+LAU.ax+WXOZ.ax+USG.ax+FWD.ax+AGO.ax+CDC.ax+AQC.ax+TOP.ax+NNW.ax+TTC.ax+FND.ax+MJP.ax+SDI.ax+GAP.ax+BBOZ.ax+MBE.ax+IOZ.ax+VGAD.ax+BLG.ax+XIP.ax+LHB.ax+MCP.ax+PHG.ax+AVG.ax+MXI.ax+APZ.ax+GVF.ax+TNG.ax+AGD.ax+RUL.ax+MAH.ax+OPT.ax+IAA.ax+AWN.ax+PPG.ax+TAM.ax+RAN.ax+LYL.ax+EAI.ax+S2R.ax+PRT.ax+RCB.ax+SMX.ax+ORL.ax+OSP.ax+PAN.ax+MRM.ax+PAC.ax+BTI.ax+EMR.ax+SFH.ax+TER.ax+TWD.ax&amp;f=nd1t1l1f6ohgc1p2k5j6jkj1ryr5ej4t8m3m8m4m6a2l1k3vp</t>
  </si>
  <si>
    <t>GBST HLDGS FPO</t>
  </si>
  <si>
    <t>1:02pm</t>
  </si>
  <si>
    <t>256.21M</t>
  </si>
  <si>
    <t>12.45M</t>
  </si>
  <si>
    <t>CATAPULT FPO</t>
  </si>
  <si>
    <t>1:01pm</t>
  </si>
  <si>
    <t>368.88M</t>
  </si>
  <si>
    <t>-7.41M</t>
  </si>
  <si>
    <t>8I HOLD CDI 1:1</t>
  </si>
  <si>
    <t>2:14pm</t>
  </si>
  <si>
    <t>256.96M</t>
  </si>
  <si>
    <t>15.10M</t>
  </si>
  <si>
    <t>MA TELECOM FPO</t>
  </si>
  <si>
    <t>3:46pm</t>
  </si>
  <si>
    <t>257.89M</t>
  </si>
  <si>
    <t>24.72M</t>
  </si>
  <si>
    <t>PMP LTD FPO</t>
  </si>
  <si>
    <t>11:46am</t>
  </si>
  <si>
    <t>254.54M</t>
  </si>
  <si>
    <t>49.26M</t>
  </si>
  <si>
    <t>TOUCHCORP FPO</t>
  </si>
  <si>
    <t>12:55pm</t>
  </si>
  <si>
    <t>219.75M</t>
  </si>
  <si>
    <t>20.23M</t>
  </si>
  <si>
    <t>VILLA WLD FPO</t>
  </si>
  <si>
    <t>12:59pm</t>
  </si>
  <si>
    <t>249.38M</t>
  </si>
  <si>
    <t>55.16M</t>
  </si>
  <si>
    <t>CI RES FPO</t>
  </si>
  <si>
    <t>12:25pm</t>
  </si>
  <si>
    <t>242.72M</t>
  </si>
  <si>
    <t>51.65M</t>
  </si>
  <si>
    <t>CENTMTREIT STAPLED</t>
  </si>
  <si>
    <t>ARGO GLOBL FPO</t>
  </si>
  <si>
    <t>12:14pm</t>
  </si>
  <si>
    <t>EDENENERGY FPO</t>
  </si>
  <si>
    <t>12:53pm</t>
  </si>
  <si>
    <t>232.79M</t>
  </si>
  <si>
    <t>-3.39M</t>
  </si>
  <si>
    <t>CODAN FPO</t>
  </si>
  <si>
    <t>31.04M</t>
  </si>
  <si>
    <t>PALADIN FPO</t>
  </si>
  <si>
    <t>1:00pm</t>
  </si>
  <si>
    <t>239.80M</t>
  </si>
  <si>
    <t>9.00M</t>
  </si>
  <si>
    <t>SUNLAND FPO</t>
  </si>
  <si>
    <t>11:09am</t>
  </si>
  <si>
    <t>247.38M</t>
  </si>
  <si>
    <t>45.67M</t>
  </si>
  <si>
    <t>RURALCO FPO</t>
  </si>
  <si>
    <t>12:47pm</t>
  </si>
  <si>
    <t>242.26M</t>
  </si>
  <si>
    <t>45.07M</t>
  </si>
  <si>
    <t>PAYCE CONS FPO</t>
  </si>
  <si>
    <t>10:06am</t>
  </si>
  <si>
    <t>246.00M</t>
  </si>
  <si>
    <t>40.91M</t>
  </si>
  <si>
    <t>MILLENNIUM FPO</t>
  </si>
  <si>
    <t>12:26pm</t>
  </si>
  <si>
    <t>238.36M</t>
  </si>
  <si>
    <t>49.74M</t>
  </si>
  <si>
    <t>BILLABONG FPO</t>
  </si>
  <si>
    <t>242.15M</t>
  </si>
  <si>
    <t>59.78M</t>
  </si>
  <si>
    <t>ADAIRS FPO</t>
  </si>
  <si>
    <t>250.47M</t>
  </si>
  <si>
    <t>45.09M</t>
  </si>
  <si>
    <t>GR ENGIN FPO</t>
  </si>
  <si>
    <t>248.42M</t>
  </si>
  <si>
    <t>23.84M</t>
  </si>
  <si>
    <t>MONEY3 FPO</t>
  </si>
  <si>
    <t>248.09M</t>
  </si>
  <si>
    <t>37.78M</t>
  </si>
  <si>
    <t>CITADEL GP FPO</t>
  </si>
  <si>
    <t>12:03pm</t>
  </si>
  <si>
    <t>235.98M</t>
  </si>
  <si>
    <t>17.81M</t>
  </si>
  <si>
    <t>ONEVIEW CDI 1:1</t>
  </si>
  <si>
    <t>336.64M</t>
  </si>
  <si>
    <t>-13.98M</t>
  </si>
  <si>
    <t>INTEG DIAG FPO</t>
  </si>
  <si>
    <t>234.94M</t>
  </si>
  <si>
    <t>35.23M</t>
  </si>
  <si>
    <t>AVJ FPO</t>
  </si>
  <si>
    <t>12:30pm</t>
  </si>
  <si>
    <t>234.98M</t>
  </si>
  <si>
    <t>56.50M</t>
  </si>
  <si>
    <t>GENTRACK FPO NZX</t>
  </si>
  <si>
    <t>12:42pm</t>
  </si>
  <si>
    <t>247.18M</t>
  </si>
  <si>
    <t>10.34M</t>
  </si>
  <si>
    <t>PERPEQUITY FPO</t>
  </si>
  <si>
    <t>12:38pm</t>
  </si>
  <si>
    <t>239.72M</t>
  </si>
  <si>
    <t>AMCIL FPO</t>
  </si>
  <si>
    <t>3:53pm</t>
  </si>
  <si>
    <t>233.05M</t>
  </si>
  <si>
    <t>Vanguard Australian Shares ETF</t>
  </si>
  <si>
    <t>12:49pm</t>
  </si>
  <si>
    <t>INFOMEDIA FPO</t>
  </si>
  <si>
    <t>12:57pm</t>
  </si>
  <si>
    <t>235.59M</t>
  </si>
  <si>
    <t>15.26M</t>
  </si>
  <si>
    <t>DATA3 FPO</t>
  </si>
  <si>
    <t>12:39pm</t>
  </si>
  <si>
    <t>228.65M</t>
  </si>
  <si>
    <t>19.82M</t>
  </si>
  <si>
    <t>TRILOGYINT FPO NZX</t>
  </si>
  <si>
    <t>1:20pm</t>
  </si>
  <si>
    <t>196.75M</t>
  </si>
  <si>
    <t>11.35M</t>
  </si>
  <si>
    <t>360 GROUP STAPLED</t>
  </si>
  <si>
    <t>11:28am</t>
  </si>
  <si>
    <t>210.17M</t>
  </si>
  <si>
    <t>46.36M</t>
  </si>
  <si>
    <t>MG UNIT UNITS</t>
  </si>
  <si>
    <t>223.25M</t>
  </si>
  <si>
    <t>117.10M</t>
  </si>
  <si>
    <t>ALACERGOLD CDI 1:1</t>
  </si>
  <si>
    <t>829.40M</t>
  </si>
  <si>
    <t>46.85M</t>
  </si>
  <si>
    <t>PAC ENERGY FPO</t>
  </si>
  <si>
    <t>222.06M</t>
  </si>
  <si>
    <t>36.90M</t>
  </si>
  <si>
    <t>SHINE CORP FPO</t>
  </si>
  <si>
    <t>12:37pm</t>
  </si>
  <si>
    <t>215.59M</t>
  </si>
  <si>
    <t>25.57M</t>
  </si>
  <si>
    <t>ADACEL FPO</t>
  </si>
  <si>
    <t>225.91M</t>
  </si>
  <si>
    <t>11.87M</t>
  </si>
  <si>
    <t>SOMNOMED FPO</t>
  </si>
  <si>
    <t>215.13M</t>
  </si>
  <si>
    <t>1.04M</t>
  </si>
  <si>
    <t>AUSWIDE FPO</t>
  </si>
  <si>
    <t>209.31M</t>
  </si>
  <si>
    <t>BLACKHAM FPO</t>
  </si>
  <si>
    <t>12:56pm</t>
  </si>
  <si>
    <t>203.14M</t>
  </si>
  <si>
    <t>-5.23M</t>
  </si>
  <si>
    <t>REJECTSHOP FPO</t>
  </si>
  <si>
    <t>212.62M</t>
  </si>
  <si>
    <t>53.31M</t>
  </si>
  <si>
    <t>WELLCOMGRP FPO</t>
  </si>
  <si>
    <t>10:35am</t>
  </si>
  <si>
    <t>213.59M</t>
  </si>
  <si>
    <t>18.49M</t>
  </si>
  <si>
    <t>STRUCT MON CDI 1:1</t>
  </si>
  <si>
    <t>216.86M</t>
  </si>
  <si>
    <t>FINBAR FPO</t>
  </si>
  <si>
    <t>10:02am</t>
  </si>
  <si>
    <t>196.85M</t>
  </si>
  <si>
    <t>23.42M</t>
  </si>
  <si>
    <t>IMDEX FPO</t>
  </si>
  <si>
    <t>11:17am</t>
  </si>
  <si>
    <t>151.65M</t>
  </si>
  <si>
    <t>16.05M</t>
  </si>
  <si>
    <t>SEA LTD FPO</t>
  </si>
  <si>
    <t>103.23M</t>
  </si>
  <si>
    <t>-108.65M</t>
  </si>
  <si>
    <t>SGEHOLDING FPO</t>
  </si>
  <si>
    <t>192.92M</t>
  </si>
  <si>
    <t>-7.33M</t>
  </si>
  <si>
    <t>CLEANTEQ FPO</t>
  </si>
  <si>
    <t>190.12M</t>
  </si>
  <si>
    <t>-5.49M</t>
  </si>
  <si>
    <t>CVC LTD FPO</t>
  </si>
  <si>
    <t>3:50pm</t>
  </si>
  <si>
    <t>195.43M</t>
  </si>
  <si>
    <t>35.81M</t>
  </si>
  <si>
    <t>MELB IT FPO</t>
  </si>
  <si>
    <t>194.40M</t>
  </si>
  <si>
    <t>20.75M</t>
  </si>
  <si>
    <t>MITULA FPO</t>
  </si>
  <si>
    <t>185.85M</t>
  </si>
  <si>
    <t>11.05M</t>
  </si>
  <si>
    <t>DORAY MIN FPO</t>
  </si>
  <si>
    <t>168.44M</t>
  </si>
  <si>
    <t>62.71M</t>
  </si>
  <si>
    <t>NEOMETALS FPO</t>
  </si>
  <si>
    <t>191.21M</t>
  </si>
  <si>
    <t>-5.08M</t>
  </si>
  <si>
    <t>CARDINAL FPO</t>
  </si>
  <si>
    <t>3:07pm</t>
  </si>
  <si>
    <t>139.91M</t>
  </si>
  <si>
    <t>-9.23M</t>
  </si>
  <si>
    <t>BIGAIR GRP FPO</t>
  </si>
  <si>
    <t>12:54pm</t>
  </si>
  <si>
    <t>186.37M</t>
  </si>
  <si>
    <t>16.97M</t>
  </si>
  <si>
    <t>ELANOR STAPLED</t>
  </si>
  <si>
    <t>146.94M</t>
  </si>
  <si>
    <t>11.39M</t>
  </si>
  <si>
    <t>LYNAS FPO</t>
  </si>
  <si>
    <t>12:51pm</t>
  </si>
  <si>
    <t>-43.70M</t>
  </si>
  <si>
    <t>IVEGROUP FPO</t>
  </si>
  <si>
    <t>10:04am</t>
  </si>
  <si>
    <t>1.51B</t>
  </si>
  <si>
    <t>-4.12M</t>
  </si>
  <si>
    <t>EMEFCY GRP FPO</t>
  </si>
  <si>
    <t>161.31M</t>
  </si>
  <si>
    <t>-3.64M</t>
  </si>
  <si>
    <t>GOWING BRS FPO</t>
  </si>
  <si>
    <t>1:38pm</t>
  </si>
  <si>
    <t>185.77M</t>
  </si>
  <si>
    <t>29.17M</t>
  </si>
  <si>
    <t>BELL FN GP FPO</t>
  </si>
  <si>
    <t>179.62M</t>
  </si>
  <si>
    <t>PRAEMIUM FPO</t>
  </si>
  <si>
    <t>185.53M</t>
  </si>
  <si>
    <t>3.88M</t>
  </si>
  <si>
    <t>CONTANGO FPO</t>
  </si>
  <si>
    <t>12:43pm</t>
  </si>
  <si>
    <t>COOPER FPO</t>
  </si>
  <si>
    <t>137.08M</t>
  </si>
  <si>
    <t>-2.07M</t>
  </si>
  <si>
    <t>REEFCASINO UNIT</t>
  </si>
  <si>
    <t>10:55am</t>
  </si>
  <si>
    <t>181.77M</t>
  </si>
  <si>
    <t>19.12M</t>
  </si>
  <si>
    <t>REDBUBBLE FPO</t>
  </si>
  <si>
    <t>178.52M</t>
  </si>
  <si>
    <t>-11.49M</t>
  </si>
  <si>
    <t>NRWHOLDLTD FPO</t>
  </si>
  <si>
    <t>12:09pm</t>
  </si>
  <si>
    <t>149.76M</t>
  </si>
  <si>
    <t>40.81M</t>
  </si>
  <si>
    <t>ALEXIUM FPO</t>
  </si>
  <si>
    <t>176.25M</t>
  </si>
  <si>
    <t>-15.70M</t>
  </si>
  <si>
    <t>AFTERPAY FPO</t>
  </si>
  <si>
    <t>12:46pm</t>
  </si>
  <si>
    <t>RECKON FPO</t>
  </si>
  <si>
    <t>11:35am</t>
  </si>
  <si>
    <t>175.62M</t>
  </si>
  <si>
    <t>21.78M</t>
  </si>
  <si>
    <t>HOMELOANS FPO</t>
  </si>
  <si>
    <t>46.63M</t>
  </si>
  <si>
    <t>GRAYSECOM FPO</t>
  </si>
  <si>
    <t>170.82M</t>
  </si>
  <si>
    <t>7.61M</t>
  </si>
  <si>
    <t>EMERG MKTS UNIT</t>
  </si>
  <si>
    <t>12:04pm</t>
  </si>
  <si>
    <t>170.01B</t>
  </si>
  <si>
    <t>COLL HOUSE FPO</t>
  </si>
  <si>
    <t>168.78M</t>
  </si>
  <si>
    <t>39.62M</t>
  </si>
  <si>
    <t>DECMIL GRP FPO</t>
  </si>
  <si>
    <t>169.04M</t>
  </si>
  <si>
    <t>9.40M</t>
  </si>
  <si>
    <t>BIONOMICS FPO</t>
  </si>
  <si>
    <t>12:31pm</t>
  </si>
  <si>
    <t>170.75M</t>
  </si>
  <si>
    <t>-14.16M</t>
  </si>
  <si>
    <t>TROY RES. FPO</t>
  </si>
  <si>
    <t>126.10M</t>
  </si>
  <si>
    <t>19.72M</t>
  </si>
  <si>
    <t>ONEVUEHOLD FPO</t>
  </si>
  <si>
    <t>12:58pm</t>
  </si>
  <si>
    <t>124.59M</t>
  </si>
  <si>
    <t>-3.07M</t>
  </si>
  <si>
    <t>K &amp; S CORP FPO</t>
  </si>
  <si>
    <t>169.68M</t>
  </si>
  <si>
    <t>40.25M</t>
  </si>
  <si>
    <t>CUDECO FPO</t>
  </si>
  <si>
    <t>5:10pm</t>
  </si>
  <si>
    <t>132.75M</t>
  </si>
  <si>
    <t>-6.37M</t>
  </si>
  <si>
    <t>APDCDATA STAPLED</t>
  </si>
  <si>
    <t>171.35M</t>
  </si>
  <si>
    <t>ASIANMAST FPO</t>
  </si>
  <si>
    <t>WATPAC FPO</t>
  </si>
  <si>
    <t>166.49M</t>
  </si>
  <si>
    <t>14.77M</t>
  </si>
  <si>
    <t>CAPILANO FPO</t>
  </si>
  <si>
    <t>170.23M</t>
  </si>
  <si>
    <t>16.20M</t>
  </si>
  <si>
    <t>KINA FPO</t>
  </si>
  <si>
    <t>12:35pm</t>
  </si>
  <si>
    <t>163.79M</t>
  </si>
  <si>
    <t>EUROZ FPO</t>
  </si>
  <si>
    <t>10:33am</t>
  </si>
  <si>
    <t>161.75M</t>
  </si>
  <si>
    <t>POLYNOVO FPO</t>
  </si>
  <si>
    <t>12:34pm</t>
  </si>
  <si>
    <t>164.86M</t>
  </si>
  <si>
    <t>-3.25M</t>
  </si>
  <si>
    <t>EUR GROUP FPO</t>
  </si>
  <si>
    <t>159.18M</t>
  </si>
  <si>
    <t>7.42M</t>
  </si>
  <si>
    <t>SMILES LTD FPO</t>
  </si>
  <si>
    <t>2:42pm</t>
  </si>
  <si>
    <t>180.43M</t>
  </si>
  <si>
    <t>12.73M</t>
  </si>
  <si>
    <t>OBJECTIVE FPO</t>
  </si>
  <si>
    <t>3:55pm</t>
  </si>
  <si>
    <t>160.45M</t>
  </si>
  <si>
    <t>6.57M</t>
  </si>
  <si>
    <t>TERRAMIN FPO</t>
  </si>
  <si>
    <t>11:15am</t>
  </si>
  <si>
    <t>161.64M</t>
  </si>
  <si>
    <t>-3.80M</t>
  </si>
  <si>
    <t>iShares MSCI BRIC (AU)</t>
  </si>
  <si>
    <t>3:04pm</t>
  </si>
  <si>
    <t>EVOLVE EDU FPO NZX</t>
  </si>
  <si>
    <t>10:56am</t>
  </si>
  <si>
    <t>159.82M</t>
  </si>
  <si>
    <t>17.60M</t>
  </si>
  <si>
    <t>KIDMAN FPO</t>
  </si>
  <si>
    <t>117.45M</t>
  </si>
  <si>
    <t>-4.56M</t>
  </si>
  <si>
    <t>360 OFFICE ORD UNIT</t>
  </si>
  <si>
    <t>AMP CHINA ORD/UNITS</t>
  </si>
  <si>
    <t>11:12am</t>
  </si>
  <si>
    <t>DWS LTD FPO</t>
  </si>
  <si>
    <t>154.90M</t>
  </si>
  <si>
    <t>25.39M</t>
  </si>
  <si>
    <t>ATRUM COAL FPO</t>
  </si>
  <si>
    <t>152.39M</t>
  </si>
  <si>
    <t>-6.49M</t>
  </si>
  <si>
    <t>WESTAFRICA FPO</t>
  </si>
  <si>
    <t>126.75M</t>
  </si>
  <si>
    <t>-7.11M</t>
  </si>
  <si>
    <t>MOTORCYCLE FPO</t>
  </si>
  <si>
    <t>151.80M</t>
  </si>
  <si>
    <t>10.89M</t>
  </si>
  <si>
    <t>STANMORE FPO</t>
  </si>
  <si>
    <t>157.97M</t>
  </si>
  <si>
    <t>-22.70M</t>
  </si>
  <si>
    <t>ALTURA FPO</t>
  </si>
  <si>
    <t>152.81M</t>
  </si>
  <si>
    <t>-7.00M</t>
  </si>
  <si>
    <t>MACQMEDIA FPO</t>
  </si>
  <si>
    <t>2:04pm</t>
  </si>
  <si>
    <t>153.90M</t>
  </si>
  <si>
    <t>25.44M</t>
  </si>
  <si>
    <t>CASH CONV FPO</t>
  </si>
  <si>
    <t>150.34M</t>
  </si>
  <si>
    <t>54.47M</t>
  </si>
  <si>
    <t>FSA GROUP FPO</t>
  </si>
  <si>
    <t>11:49am</t>
  </si>
  <si>
    <t>147.61M</t>
  </si>
  <si>
    <t>Russell High Div Australian Sh</t>
  </si>
  <si>
    <t>10:42am</t>
  </si>
  <si>
    <t>GASCOYNE FPO</t>
  </si>
  <si>
    <t>11:37am</t>
  </si>
  <si>
    <t>147.95M</t>
  </si>
  <si>
    <t>88 ENERGY FPO</t>
  </si>
  <si>
    <t>140.15M</t>
  </si>
  <si>
    <t>-9.30M</t>
  </si>
  <si>
    <t>BASEIRON FPO</t>
  </si>
  <si>
    <t>12:23pm</t>
  </si>
  <si>
    <t>131.80M</t>
  </si>
  <si>
    <t>59.69M</t>
  </si>
  <si>
    <t>3PLEARNING FPO</t>
  </si>
  <si>
    <t>144.60M</t>
  </si>
  <si>
    <t>7.74M</t>
  </si>
  <si>
    <t>BERKELEY FPO</t>
  </si>
  <si>
    <t>141.80M</t>
  </si>
  <si>
    <t>-13.50M</t>
  </si>
  <si>
    <t>ARMIDALE FPO</t>
  </si>
  <si>
    <t>3:40pm</t>
  </si>
  <si>
    <t>UPDTER INC CDI FORUS</t>
  </si>
  <si>
    <t>12:20pm</t>
  </si>
  <si>
    <t>239.57B</t>
  </si>
  <si>
    <t>INNATE FPO</t>
  </si>
  <si>
    <t>107.06M</t>
  </si>
  <si>
    <t>-4.45M</t>
  </si>
  <si>
    <t>REDFLOW FPO</t>
  </si>
  <si>
    <t>139.74M</t>
  </si>
  <si>
    <t>-13.61M</t>
  </si>
  <si>
    <t>MEGAPORT FPO</t>
  </si>
  <si>
    <t>179.20M</t>
  </si>
  <si>
    <t>-20.87M</t>
  </si>
  <si>
    <t>TPI ENT FPO</t>
  </si>
  <si>
    <t>155.38M</t>
  </si>
  <si>
    <t>-9.36M</t>
  </si>
  <si>
    <t>BLUE S AAF FPO</t>
  </si>
  <si>
    <t>12:50pm</t>
  </si>
  <si>
    <t>140.46B</t>
  </si>
  <si>
    <t>ELLEX FPO</t>
  </si>
  <si>
    <t>12:41pm</t>
  </si>
  <si>
    <t>132.98M</t>
  </si>
  <si>
    <t>6.42M</t>
  </si>
  <si>
    <t>TOWER FPO NZX</t>
  </si>
  <si>
    <t>11:02am</t>
  </si>
  <si>
    <t>141.53M</t>
  </si>
  <si>
    <t>4.98M</t>
  </si>
  <si>
    <t>PANTORO FPO</t>
  </si>
  <si>
    <t>133.00M</t>
  </si>
  <si>
    <t>4.01M</t>
  </si>
  <si>
    <t>LUCAPA FPO</t>
  </si>
  <si>
    <t>142.16M</t>
  </si>
  <si>
    <t>-3.59M</t>
  </si>
  <si>
    <t>NZKSALMON FPO NZX</t>
  </si>
  <si>
    <t>25.65M</t>
  </si>
  <si>
    <t>-12.65M</t>
  </si>
  <si>
    <t>GAZAL FPO</t>
  </si>
  <si>
    <t>139.58M</t>
  </si>
  <si>
    <t>7.38M</t>
  </si>
  <si>
    <t>BSA AUST FPO</t>
  </si>
  <si>
    <t>137.44M</t>
  </si>
  <si>
    <t>18.78M</t>
  </si>
  <si>
    <t>139.07M</t>
  </si>
  <si>
    <t>3.32M</t>
  </si>
  <si>
    <t>ROYAL WOLF FPO</t>
  </si>
  <si>
    <t>140.39M</t>
  </si>
  <si>
    <t>37.29M</t>
  </si>
  <si>
    <t>COMPUMEDIC FPO</t>
  </si>
  <si>
    <t>12:48pm</t>
  </si>
  <si>
    <t>133.37M</t>
  </si>
  <si>
    <t>3.48M</t>
  </si>
  <si>
    <t>UBS IQ AUS ETF UNITS</t>
  </si>
  <si>
    <t>1:47pm</t>
  </si>
  <si>
    <t>APIAM FPO</t>
  </si>
  <si>
    <t>10:00am</t>
  </si>
  <si>
    <t>136.88M</t>
  </si>
  <si>
    <t>4.15M</t>
  </si>
  <si>
    <t>HILLS FPO</t>
  </si>
  <si>
    <t>133.39M</t>
  </si>
  <si>
    <t>7.17M</t>
  </si>
  <si>
    <t>AVANCO RES FPO</t>
  </si>
  <si>
    <t>12:22pm</t>
  </si>
  <si>
    <t>137.59M</t>
  </si>
  <si>
    <t>2.43M</t>
  </si>
  <si>
    <t>PARAGON FPO</t>
  </si>
  <si>
    <t>133.95M</t>
  </si>
  <si>
    <t>11.96M</t>
  </si>
  <si>
    <t>AJ LUCAS FPO</t>
  </si>
  <si>
    <t>131.48M</t>
  </si>
  <si>
    <t>15.05M</t>
  </si>
  <si>
    <t>EASTGOLD FPO</t>
  </si>
  <si>
    <t>122.40M</t>
  </si>
  <si>
    <t>-19.53M</t>
  </si>
  <si>
    <t>ASF GROUP FPO</t>
  </si>
  <si>
    <t>132.81M</t>
  </si>
  <si>
    <t>-6.84M</t>
  </si>
  <si>
    <t>RAND MIN FPO</t>
  </si>
  <si>
    <t>3:44pm</t>
  </si>
  <si>
    <t>132.33M</t>
  </si>
  <si>
    <t>20.21M</t>
  </si>
  <si>
    <t>FOLKESTONE FPO</t>
  </si>
  <si>
    <t>132.11M</t>
  </si>
  <si>
    <t>4.41M</t>
  </si>
  <si>
    <t>VanEck Vectors Australian Equa</t>
  </si>
  <si>
    <t>12:32pm</t>
  </si>
  <si>
    <t>MEDUSA FPO</t>
  </si>
  <si>
    <t>134.44M</t>
  </si>
  <si>
    <t>69.37M</t>
  </si>
  <si>
    <t>130.72M</t>
  </si>
  <si>
    <t>11.94M</t>
  </si>
  <si>
    <t>NONI B FPO</t>
  </si>
  <si>
    <t>11:19am</t>
  </si>
  <si>
    <t>67.22M</t>
  </si>
  <si>
    <t>5.48M</t>
  </si>
  <si>
    <t>SENETAS FPO</t>
  </si>
  <si>
    <t>129.44M</t>
  </si>
  <si>
    <t>5.27M</t>
  </si>
  <si>
    <t>RHIPE LTD FPO</t>
  </si>
  <si>
    <t>128.30M</t>
  </si>
  <si>
    <t>-1.16M</t>
  </si>
  <si>
    <t>APN PROP FPO</t>
  </si>
  <si>
    <t>10:58am</t>
  </si>
  <si>
    <t>121.47M</t>
  </si>
  <si>
    <t>5.40M</t>
  </si>
  <si>
    <t>ADSLOT LTD FPO</t>
  </si>
  <si>
    <t>107.99M</t>
  </si>
  <si>
    <t>-4.03M</t>
  </si>
  <si>
    <t>OBJ LTD FPO</t>
  </si>
  <si>
    <t>127.79M</t>
  </si>
  <si>
    <t>-3.46M</t>
  </si>
  <si>
    <t>GRANGE FPO</t>
  </si>
  <si>
    <t>127.31M</t>
  </si>
  <si>
    <t>244.03M</t>
  </si>
  <si>
    <t>ONEALL FPO</t>
  </si>
  <si>
    <t>11:53am</t>
  </si>
  <si>
    <t>127.07M</t>
  </si>
  <si>
    <t>11.16M</t>
  </si>
  <si>
    <t>MCGRATH FPO</t>
  </si>
  <si>
    <t>122.75M</t>
  </si>
  <si>
    <t>18.15M</t>
  </si>
  <si>
    <t>SLATER &amp; G FPO</t>
  </si>
  <si>
    <t>126.86M</t>
  </si>
  <si>
    <t>-74.89M</t>
  </si>
  <si>
    <t>BOART FPO</t>
  </si>
  <si>
    <t>125.98M</t>
  </si>
  <si>
    <t>-106.05M</t>
  </si>
  <si>
    <t>ZIPMONEY FPO</t>
  </si>
  <si>
    <t>10:09am</t>
  </si>
  <si>
    <t>175.95M</t>
  </si>
  <si>
    <t>-2.89M</t>
  </si>
  <si>
    <t>NZME LTD DEF NZ</t>
  </si>
  <si>
    <t>4:11pm</t>
  </si>
  <si>
    <t>126.43M</t>
  </si>
  <si>
    <t>89.21M</t>
  </si>
  <si>
    <t>OTW HLDING FPO</t>
  </si>
  <si>
    <t>11:11am</t>
  </si>
  <si>
    <t>126.15M</t>
  </si>
  <si>
    <t>5.39M</t>
  </si>
  <si>
    <t>RXPSERVICE FPO</t>
  </si>
  <si>
    <t>126.79M</t>
  </si>
  <si>
    <t>18.01M</t>
  </si>
  <si>
    <t>INTECQ LTD FPO</t>
  </si>
  <si>
    <t>125.11M</t>
  </si>
  <si>
    <t>9.71M</t>
  </si>
  <si>
    <t>BROCKMAN FPO</t>
  </si>
  <si>
    <t>134.11M</t>
  </si>
  <si>
    <t>-9.29M</t>
  </si>
  <si>
    <t>TIG REALM FPO</t>
  </si>
  <si>
    <t>12:33pm</t>
  </si>
  <si>
    <t>105.76M</t>
  </si>
  <si>
    <t>-8.21M</t>
  </si>
  <si>
    <t>SHRIRO FPO</t>
  </si>
  <si>
    <t>121.60M</t>
  </si>
  <si>
    <t>23.05M</t>
  </si>
  <si>
    <t>COGSTATE FPO</t>
  </si>
  <si>
    <t>126.42M</t>
  </si>
  <si>
    <t>1.57M</t>
  </si>
  <si>
    <t>Vanguard Australian Government</t>
  </si>
  <si>
    <t>CARNARVON FPO</t>
  </si>
  <si>
    <t>122.39M</t>
  </si>
  <si>
    <t>-6.08M</t>
  </si>
  <si>
    <t>HAVILAH FPO</t>
  </si>
  <si>
    <t>122.90M</t>
  </si>
  <si>
    <t>YOWIE FPO</t>
  </si>
  <si>
    <t>123.82M</t>
  </si>
  <si>
    <t>-6.62M</t>
  </si>
  <si>
    <t>WESTOZIC FPO</t>
  </si>
  <si>
    <t>10:32am</t>
  </si>
  <si>
    <t>BEST GLOB FPO</t>
  </si>
  <si>
    <t>138.87M</t>
  </si>
  <si>
    <t>-3.85M</t>
  </si>
  <si>
    <t>LINDSAY AU FPO</t>
  </si>
  <si>
    <t>11:06am</t>
  </si>
  <si>
    <t>120.32M</t>
  </si>
  <si>
    <t>36.01M</t>
  </si>
  <si>
    <t>USPRIVOPF2 UNIT</t>
  </si>
  <si>
    <t>11:54am</t>
  </si>
  <si>
    <t>FLEETWOOD FPO</t>
  </si>
  <si>
    <t>12:40pm</t>
  </si>
  <si>
    <t>116.58M</t>
  </si>
  <si>
    <t>9.03M</t>
  </si>
  <si>
    <t>ATLAS IRON FPO</t>
  </si>
  <si>
    <t>116.94M</t>
  </si>
  <si>
    <t>60.36M</t>
  </si>
  <si>
    <t>CHINADAIRY CDI 1:1</t>
  </si>
  <si>
    <t>117.58M</t>
  </si>
  <si>
    <t>42.44M</t>
  </si>
  <si>
    <t>AUSPACCOAL FPO</t>
  </si>
  <si>
    <t>12:11pm</t>
  </si>
  <si>
    <t>112.28M</t>
  </si>
  <si>
    <t>-4.04M</t>
  </si>
  <si>
    <t>THORNEYOPP FPO</t>
  </si>
  <si>
    <t>99 WUXIAN CDI 1:1</t>
  </si>
  <si>
    <t>144.96M</t>
  </si>
  <si>
    <t>4.10M</t>
  </si>
  <si>
    <t>TRATHERAPY FPO</t>
  </si>
  <si>
    <t>12:10pm</t>
  </si>
  <si>
    <t>118.15M</t>
  </si>
  <si>
    <t>28.95M</t>
  </si>
  <si>
    <t>FINDERS FPO</t>
  </si>
  <si>
    <t>12:18pm</t>
  </si>
  <si>
    <t>117.89M</t>
  </si>
  <si>
    <t>-40.68M</t>
  </si>
  <si>
    <t>MARTIN AIR FPO NZ</t>
  </si>
  <si>
    <t>136.92M</t>
  </si>
  <si>
    <t>-7.80M</t>
  </si>
  <si>
    <t>SDI FPO</t>
  </si>
  <si>
    <t>11:41am</t>
  </si>
  <si>
    <t>112.92M</t>
  </si>
  <si>
    <t>14.26M</t>
  </si>
  <si>
    <t>GALE PAC FPO</t>
  </si>
  <si>
    <t>10:52am</t>
  </si>
  <si>
    <t>113.04M</t>
  </si>
  <si>
    <t>16.09M</t>
  </si>
  <si>
    <t>MOBEMBRACE FPO</t>
  </si>
  <si>
    <t>106.88M</t>
  </si>
  <si>
    <t>7.71M</t>
  </si>
  <si>
    <t>iShares Core S&amp;P/ASX 200 (AU)</t>
  </si>
  <si>
    <t>BLUGLASS FPO</t>
  </si>
  <si>
    <t>113.35M</t>
  </si>
  <si>
    <t>-2.75M</t>
  </si>
  <si>
    <t>XENITH FPO</t>
  </si>
  <si>
    <t>12:36pm</t>
  </si>
  <si>
    <t>115.27M</t>
  </si>
  <si>
    <t>10.51M</t>
  </si>
  <si>
    <t>LIONHUB FPO</t>
  </si>
  <si>
    <t>2:15pm</t>
  </si>
  <si>
    <t>111.56M</t>
  </si>
  <si>
    <t>-2.21M</t>
  </si>
  <si>
    <t>MCPHERSON FPO</t>
  </si>
  <si>
    <t>12:21pm</t>
  </si>
  <si>
    <t>108.48M</t>
  </si>
  <si>
    <t>20.78M</t>
  </si>
  <si>
    <t>PULSE HLTH FPO</t>
  </si>
  <si>
    <t>12:52pm</t>
  </si>
  <si>
    <t>110.54M</t>
  </si>
  <si>
    <t>2.77M</t>
  </si>
  <si>
    <t>AUST VINT FPO</t>
  </si>
  <si>
    <t>110.32M</t>
  </si>
  <si>
    <t>17.69M</t>
  </si>
  <si>
    <t>MAXITRANS FPO</t>
  </si>
  <si>
    <t>110.12M</t>
  </si>
  <si>
    <t>16.83M</t>
  </si>
  <si>
    <t>ASPEN STAPLED</t>
  </si>
  <si>
    <t>3:57pm</t>
  </si>
  <si>
    <t>122.11M</t>
  </si>
  <si>
    <t>5.05M</t>
  </si>
  <si>
    <t>GLOBALVAL FPO</t>
  </si>
  <si>
    <t>12:15pm</t>
  </si>
  <si>
    <t>TNG FPO</t>
  </si>
  <si>
    <t>109.01M</t>
  </si>
  <si>
    <t>-3.73M</t>
  </si>
  <si>
    <t>AUST GOLD FPO</t>
  </si>
  <si>
    <t>3:49pm</t>
  </si>
  <si>
    <t>108.99M</t>
  </si>
  <si>
    <t>5.25M</t>
  </si>
  <si>
    <t>RUNGE FPO</t>
  </si>
  <si>
    <t>85.23M</t>
  </si>
  <si>
    <t>-4.15M</t>
  </si>
  <si>
    <t>MACMAHON FPO</t>
  </si>
  <si>
    <t>107.62M</t>
  </si>
  <si>
    <t>25.47M</t>
  </si>
  <si>
    <t>OPTHEA FPO</t>
  </si>
  <si>
    <t>10:07am</t>
  </si>
  <si>
    <t>107.40M</t>
  </si>
  <si>
    <t>-7.72M</t>
  </si>
  <si>
    <t>iShares Asia 50 (AU)</t>
  </si>
  <si>
    <t>AROWANA FPO</t>
  </si>
  <si>
    <t>12:28pm</t>
  </si>
  <si>
    <t>110.72M</t>
  </si>
  <si>
    <t>PRO PAC FPO</t>
  </si>
  <si>
    <t>10:30am</t>
  </si>
  <si>
    <t>108.19M</t>
  </si>
  <si>
    <t>15.28M</t>
  </si>
  <si>
    <t>TANAMI FPO</t>
  </si>
  <si>
    <t>-4.67M</t>
  </si>
  <si>
    <t>12:27pm</t>
  </si>
  <si>
    <t>187.50M</t>
  </si>
  <si>
    <t>-4.82M</t>
  </si>
  <si>
    <t>LYCOPODIUM FPO</t>
  </si>
  <si>
    <t>2:30pm</t>
  </si>
  <si>
    <t>105.29M</t>
  </si>
  <si>
    <t>ELL ASIAN FPO</t>
  </si>
  <si>
    <t>107.40B</t>
  </si>
  <si>
    <t>S2RESOURCE FPO</t>
  </si>
  <si>
    <t>90.64M</t>
  </si>
  <si>
    <t>-10.03M</t>
  </si>
  <si>
    <t>PRIME TV FPO</t>
  </si>
  <si>
    <t>106.24M</t>
  </si>
  <si>
    <t>53.32M</t>
  </si>
  <si>
    <t>Russell Australian Select Corp</t>
  </si>
  <si>
    <t>12:44pm</t>
  </si>
  <si>
    <t>SMS M&amp;T FPO</t>
  </si>
  <si>
    <t>102.80M</t>
  </si>
  <si>
    <t>16.49M</t>
  </si>
  <si>
    <t>OROTON FPO</t>
  </si>
  <si>
    <t>12:17pm</t>
  </si>
  <si>
    <t>103.00M</t>
  </si>
  <si>
    <t>10.96M</t>
  </si>
  <si>
    <t>OSPREY MED CDI 2:1</t>
  </si>
  <si>
    <t>58.58M</t>
  </si>
  <si>
    <t>-11.96M</t>
  </si>
  <si>
    <t>PANORAMIC FPO</t>
  </si>
  <si>
    <t>105.00M</t>
  </si>
  <si>
    <t>-6.03M</t>
  </si>
  <si>
    <t>MMAOFFSHOR FPO</t>
  </si>
  <si>
    <t>100.73M</t>
  </si>
  <si>
    <t>74.55M</t>
  </si>
  <si>
    <t>PACCURRENT FPO</t>
  </si>
  <si>
    <t>102.38M</t>
  </si>
  <si>
    <t>BAILADOR FPO</t>
  </si>
  <si>
    <t>108.91M</t>
  </si>
  <si>
    <t>EMERALD FPO</t>
  </si>
  <si>
    <t>10:48am</t>
  </si>
  <si>
    <t>64.02M</t>
  </si>
  <si>
    <t>SPECIALTY FPO</t>
  </si>
  <si>
    <t>98.04M</t>
  </si>
  <si>
    <t>7.73M</t>
  </si>
  <si>
    <t>TERRACOM FPO</t>
  </si>
  <si>
    <t>11:58am</t>
  </si>
  <si>
    <t>103.26M</t>
  </si>
  <si>
    <t>-18.78M</t>
  </si>
  <si>
    <t>TAMAWOOD FPO</t>
  </si>
  <si>
    <t>10:27am</t>
  </si>
  <si>
    <t>99.17M</t>
  </si>
  <si>
    <t>11.04M</t>
  </si>
  <si>
    <t>FOR COMPANY 100 to 250m</t>
  </si>
  <si>
    <t>GBT.AX</t>
  </si>
  <si>
    <t>CAT.AX</t>
  </si>
  <si>
    <t>8IH.AX</t>
  </si>
  <si>
    <t>MAQ.AX</t>
  </si>
  <si>
    <t>PMP.AX</t>
  </si>
  <si>
    <t>TCH.AX</t>
  </si>
  <si>
    <t>VLW.AX</t>
  </si>
  <si>
    <t>CII.AX</t>
  </si>
  <si>
    <t>CMA.AX</t>
  </si>
  <si>
    <t>ALI.AX</t>
  </si>
  <si>
    <t>EDE.AX</t>
  </si>
  <si>
    <t>CDA.AX</t>
  </si>
  <si>
    <t>PDN.AX</t>
  </si>
  <si>
    <t>SDG.AX</t>
  </si>
  <si>
    <t>RHL.AX</t>
  </si>
  <si>
    <t>PAY.AX</t>
  </si>
  <si>
    <t>MOY.AX</t>
  </si>
  <si>
    <t>BBG.AX</t>
  </si>
  <si>
    <t>ADH.AX</t>
  </si>
  <si>
    <t>GNG.AX</t>
  </si>
  <si>
    <t>MNY.AX</t>
  </si>
  <si>
    <t>CGL.AX</t>
  </si>
  <si>
    <t>ONE.AX</t>
  </si>
  <si>
    <t>IDX.AX</t>
  </si>
  <si>
    <t>AVJ.AX</t>
  </si>
  <si>
    <t>GTK.AX</t>
  </si>
  <si>
    <t>PIC.AX</t>
  </si>
  <si>
    <t>AMH.AX</t>
  </si>
  <si>
    <t>VAS.AX</t>
  </si>
  <si>
    <t>IFM.AX</t>
  </si>
  <si>
    <t>DTL.AX</t>
  </si>
  <si>
    <t>TIL.AX</t>
  </si>
  <si>
    <t>TGP.AX</t>
  </si>
  <si>
    <t>MGC.AX</t>
  </si>
  <si>
    <t>AQG.AX</t>
  </si>
  <si>
    <t>PEA.AX</t>
  </si>
  <si>
    <t>SHJ.AX</t>
  </si>
  <si>
    <t>ADA.AX</t>
  </si>
  <si>
    <t>SOM.AX</t>
  </si>
  <si>
    <t>ABA.AX</t>
  </si>
  <si>
    <t>BLK.AX</t>
  </si>
  <si>
    <t>TRS.AX</t>
  </si>
  <si>
    <t>WLL.AX</t>
  </si>
  <si>
    <t>SMN.AX</t>
  </si>
  <si>
    <t>FRI.AX</t>
  </si>
  <si>
    <t>IMD.AX</t>
  </si>
  <si>
    <t>SEA.AX</t>
  </si>
  <si>
    <t>SEH.AX</t>
  </si>
  <si>
    <t>CLQ.AX</t>
  </si>
  <si>
    <t>CVC.AX</t>
  </si>
  <si>
    <t>MLB.AX</t>
  </si>
  <si>
    <t>MUA.AX</t>
  </si>
  <si>
    <t>DRM.AX</t>
  </si>
  <si>
    <t>NMT.AX</t>
  </si>
  <si>
    <t>CDV.AX</t>
  </si>
  <si>
    <t>BGL.AX</t>
  </si>
  <si>
    <t>ENN.AX</t>
  </si>
  <si>
    <t>LYC.AX</t>
  </si>
  <si>
    <t>IGL.AX</t>
  </si>
  <si>
    <t>EMC.AX</t>
  </si>
  <si>
    <t>GOW.AX</t>
  </si>
  <si>
    <t>BFG.AX</t>
  </si>
  <si>
    <t>PPS.AX</t>
  </si>
  <si>
    <t>CTN.AX</t>
  </si>
  <si>
    <t>COE.AX</t>
  </si>
  <si>
    <t>RCT.AX</t>
  </si>
  <si>
    <t>RBL.AX</t>
  </si>
  <si>
    <t>NWH.AX</t>
  </si>
  <si>
    <t>AJX.AX</t>
  </si>
  <si>
    <t>AFY.AX</t>
  </si>
  <si>
    <t>RKN.AX</t>
  </si>
  <si>
    <t>HOM.AX</t>
  </si>
  <si>
    <t>GEG.AX</t>
  </si>
  <si>
    <t>EMF.AX</t>
  </si>
  <si>
    <t>CLH.AX</t>
  </si>
  <si>
    <t>DCG.AX</t>
  </si>
  <si>
    <t>BNO.AX</t>
  </si>
  <si>
    <t>TRY.AX</t>
  </si>
  <si>
    <t>OVH.AX</t>
  </si>
  <si>
    <t>KSC.AX</t>
  </si>
  <si>
    <t>CDU.AX</t>
  </si>
  <si>
    <t>AJD.AX</t>
  </si>
  <si>
    <t>AUF.AX</t>
  </si>
  <si>
    <t>WTP.AX</t>
  </si>
  <si>
    <t>CZZ.AX</t>
  </si>
  <si>
    <t>KSL.AX</t>
  </si>
  <si>
    <t>EZL.AX</t>
  </si>
  <si>
    <t>PNV.AX</t>
  </si>
  <si>
    <t>EGH.AX</t>
  </si>
  <si>
    <t>ONT.AX</t>
  </si>
  <si>
    <t>OCL.AX</t>
  </si>
  <si>
    <t>TZN.AX</t>
  </si>
  <si>
    <t>IBK.AX</t>
  </si>
  <si>
    <t>EVO.AX</t>
  </si>
  <si>
    <t>KDR.AX</t>
  </si>
  <si>
    <t>TOF.AX</t>
  </si>
  <si>
    <t>AGF.AX</t>
  </si>
  <si>
    <t>DWS.AX</t>
  </si>
  <si>
    <t>ATU.AX</t>
  </si>
  <si>
    <t>WAF.AX</t>
  </si>
  <si>
    <t>MTO.AX</t>
  </si>
  <si>
    <t>SMR.AX</t>
  </si>
  <si>
    <t>AJM.AX</t>
  </si>
  <si>
    <t>MRN.AX</t>
  </si>
  <si>
    <t>CCV.AX</t>
  </si>
  <si>
    <t>FSA.AX</t>
  </si>
  <si>
    <t>RDV.AX</t>
  </si>
  <si>
    <t>GCY.AX</t>
  </si>
  <si>
    <t>88E.AX</t>
  </si>
  <si>
    <t>BSE.AX</t>
  </si>
  <si>
    <t>3PL.AX</t>
  </si>
  <si>
    <t>BKY.AX</t>
  </si>
  <si>
    <t>AIK.AX</t>
  </si>
  <si>
    <t>UPD.AX</t>
  </si>
  <si>
    <t>IIL.AX</t>
  </si>
  <si>
    <t>RFX.AX</t>
  </si>
  <si>
    <t>MP1.AX</t>
  </si>
  <si>
    <t>TPE.AX</t>
  </si>
  <si>
    <t>BAF.AX</t>
  </si>
  <si>
    <t>ELX.AX</t>
  </si>
  <si>
    <t>TWR.AX</t>
  </si>
  <si>
    <t>PNR.AX</t>
  </si>
  <si>
    <t>LOM.AX</t>
  </si>
  <si>
    <t>NZK.AX</t>
  </si>
  <si>
    <t>GZL.AX</t>
  </si>
  <si>
    <t>BSA.AX</t>
  </si>
  <si>
    <t>KGN.AX</t>
  </si>
  <si>
    <t>RWH.AX</t>
  </si>
  <si>
    <t>CMP.AX</t>
  </si>
  <si>
    <t>UBA.AX</t>
  </si>
  <si>
    <t>AHX.AX</t>
  </si>
  <si>
    <t>HIL.AX</t>
  </si>
  <si>
    <t>AVB.AX</t>
  </si>
  <si>
    <t>PGC.AX</t>
  </si>
  <si>
    <t>AJL.AX</t>
  </si>
  <si>
    <t>EGS.AX</t>
  </si>
  <si>
    <t>AFA.AX</t>
  </si>
  <si>
    <t>RND.AX</t>
  </si>
  <si>
    <t>FLK.AX</t>
  </si>
  <si>
    <t>MVW.AX</t>
  </si>
  <si>
    <t>MML.AX</t>
  </si>
  <si>
    <t>SSG.AX</t>
  </si>
  <si>
    <t>NBL.AX</t>
  </si>
  <si>
    <t>SEN.AX</t>
  </si>
  <si>
    <t>RHP.AX</t>
  </si>
  <si>
    <t>APD.AX</t>
  </si>
  <si>
    <t>ADJ.AX</t>
  </si>
  <si>
    <t>OBJ.AX</t>
  </si>
  <si>
    <t>GRR.AX</t>
  </si>
  <si>
    <t>1AL.AX</t>
  </si>
  <si>
    <t>MEA.AX</t>
  </si>
  <si>
    <t>SGH.AX</t>
  </si>
  <si>
    <t>BLY.AX</t>
  </si>
  <si>
    <t>ZML.AX</t>
  </si>
  <si>
    <t>NZM.AX</t>
  </si>
  <si>
    <t>OTW.AX</t>
  </si>
  <si>
    <t>RXP.AX</t>
  </si>
  <si>
    <t>ITQ.AX</t>
  </si>
  <si>
    <t>BCK.AX</t>
  </si>
  <si>
    <t>TIG.AX</t>
  </si>
  <si>
    <t>SHM.AX</t>
  </si>
  <si>
    <t>CGS.AX</t>
  </si>
  <si>
    <t>VGB.AX</t>
  </si>
  <si>
    <t>CVN.AX</t>
  </si>
  <si>
    <t>HAV.AX</t>
  </si>
  <si>
    <t>YOW.AX</t>
  </si>
  <si>
    <t>WIC.AX</t>
  </si>
  <si>
    <t>BFC.AX</t>
  </si>
  <si>
    <t>LAU.AX</t>
  </si>
  <si>
    <t>USG.AX</t>
  </si>
  <si>
    <t>FWD.AX</t>
  </si>
  <si>
    <t>AGO.AX</t>
  </si>
  <si>
    <t>CDC.AX</t>
  </si>
  <si>
    <t>AQC.AX</t>
  </si>
  <si>
    <t>TOP.AX</t>
  </si>
  <si>
    <t>NNW.AX</t>
  </si>
  <si>
    <t>TTC.AX</t>
  </si>
  <si>
    <t>FND.AX</t>
  </si>
  <si>
    <t>MJP.AX</t>
  </si>
  <si>
    <t>SDI.AX</t>
  </si>
  <si>
    <t>GAP.AX</t>
  </si>
  <si>
    <t>MBE.AX</t>
  </si>
  <si>
    <t>IOZ.AX</t>
  </si>
  <si>
    <t>BLG.AX</t>
  </si>
  <si>
    <t>XIP.AX</t>
  </si>
  <si>
    <t>LHB.AX</t>
  </si>
  <si>
    <t>MCP.AX</t>
  </si>
  <si>
    <t>PHG.AX</t>
  </si>
  <si>
    <t>AVG.AX</t>
  </si>
  <si>
    <t>MXI.AX</t>
  </si>
  <si>
    <t>APZ.AX</t>
  </si>
  <si>
    <t>GVF.AX</t>
  </si>
  <si>
    <t>TNG.AX</t>
  </si>
  <si>
    <t>AGD.AX</t>
  </si>
  <si>
    <t>RUL.AX</t>
  </si>
  <si>
    <t>MAH.AX</t>
  </si>
  <si>
    <t>OPT.AX</t>
  </si>
  <si>
    <t>IAA.AX</t>
  </si>
  <si>
    <t>AWN.AX</t>
  </si>
  <si>
    <t>PPG.AX</t>
  </si>
  <si>
    <t>TAM.AX</t>
  </si>
  <si>
    <t>RAN.AX</t>
  </si>
  <si>
    <t>LYL.AX</t>
  </si>
  <si>
    <t>EAI.AX</t>
  </si>
  <si>
    <t>S2R.AX</t>
  </si>
  <si>
    <t>PRT.AX</t>
  </si>
  <si>
    <t>RCB.AX</t>
  </si>
  <si>
    <t>SMX.AX</t>
  </si>
  <si>
    <t>ORL.AX</t>
  </si>
  <si>
    <t>OSP.AX</t>
  </si>
  <si>
    <t>PAN.AX</t>
  </si>
  <si>
    <t>MRM.AX</t>
  </si>
  <si>
    <t>PAC.AX</t>
  </si>
  <si>
    <t>BTI.AX</t>
  </si>
  <si>
    <t>EMR.AX</t>
  </si>
  <si>
    <t>SFH.AX</t>
  </si>
  <si>
    <t>TER.AX</t>
  </si>
  <si>
    <t>TWD.AX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</si>
</sst>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&quot;$&quot;#,##0.00"/>
    <numFmt numFmtId="165" formatCode="0.0"/>
    <numFmt numFmtId="166" formatCode="[$-C09]dd\-mmm\-yy;@"/>
  </numFmts>
  <fonts count="16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 Black"/>
      <family val="2"/>
    </font>
    <font>
      <b/>
      <sz val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7"/>
      <name val="Arial"/>
      <family val="2"/>
    </font>
    <font>
      <b/>
      <sz val="8"/>
      <color indexed="10"/>
      <name val="Arial"/>
      <family val="2"/>
    </font>
    <font>
      <sz val="12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12"/>
      <color rgb="FF000000"/>
      <name val="Arial Black"/>
      <family val="2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/>
      <diagonal/>
    </border>
    <border>
      <left/>
      <right style="thick">
        <color theme="4"/>
      </right>
      <top style="thick">
        <color theme="4"/>
      </top>
      <bottom/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medium">
        <color rgb="FFCCCCCC"/>
      </left>
      <right style="thin">
        <color rgb="FFCCCCCC"/>
      </right>
      <top style="thin">
        <color rgb="FFCCCCCC"/>
      </top>
      <bottom style="medium">
        <color rgb="FFCCCCCC"/>
      </bottom>
      <diagonal/>
    </border>
  </borders>
  <cellStyleXfs count="7">
    <xf numFmtId="0" fontId="0" fillId="0" borderId="0"/>
    <xf numFmtId="0" fontId="9" fillId="3" borderId="0" applyNumberFormat="0" applyBorder="0" applyAlignment="0" applyProtection="0"/>
    <xf numFmtId="43" fontId="2" fillId="0" borderId="0" applyFont="0" applyFill="0" applyBorder="0" applyAlignment="0" applyProtection="0"/>
    <xf numFmtId="0" fontId="10" fillId="0" borderId="1" applyNumberFormat="0" applyFill="0" applyAlignment="0" applyProtection="0"/>
    <xf numFmtId="0" fontId="11" fillId="0" borderId="2" applyNumberFormat="0" applyFill="0" applyAlignment="0" applyProtection="0"/>
    <xf numFmtId="0" fontId="1" fillId="0" borderId="0"/>
    <xf numFmtId="0" fontId="15" fillId="0" borderId="0" applyNumberFormat="0" applyFill="0" applyBorder="0" applyAlignment="0" applyProtection="0"/>
  </cellStyleXfs>
  <cellXfs count="109">
    <xf numFmtId="0" fontId="0" fillId="0" borderId="0" xfId="0"/>
    <xf numFmtId="164" fontId="5" fillId="0" borderId="0" xfId="0" applyNumberFormat="1" applyFont="1" applyAlignment="1">
      <alignment horizontal="left" vertical="center"/>
    </xf>
    <xf numFmtId="2" fontId="5" fillId="0" borderId="0" xfId="0" applyNumberFormat="1" applyFont="1"/>
    <xf numFmtId="2" fontId="0" fillId="0" borderId="0" xfId="0" applyNumberFormat="1"/>
    <xf numFmtId="2" fontId="5" fillId="0" borderId="0" xfId="0" applyNumberFormat="1" applyFont="1" applyAlignment="1">
      <alignment horizontal="center"/>
    </xf>
    <xf numFmtId="0" fontId="6" fillId="0" borderId="0" xfId="0" applyFont="1"/>
    <xf numFmtId="10" fontId="0" fillId="0" borderId="0" xfId="0" applyNumberFormat="1"/>
    <xf numFmtId="166" fontId="5" fillId="0" borderId="0" xfId="0" applyNumberFormat="1" applyFont="1" applyAlignment="1">
      <alignment horizontal="center"/>
    </xf>
    <xf numFmtId="4" fontId="5" fillId="0" borderId="0" xfId="0" applyNumberFormat="1" applyFont="1" applyAlignment="1">
      <alignment horizontal="center"/>
    </xf>
    <xf numFmtId="165" fontId="0" fillId="0" borderId="0" xfId="0" applyNumberFormat="1"/>
    <xf numFmtId="4" fontId="0" fillId="0" borderId="0" xfId="0" applyNumberFormat="1"/>
    <xf numFmtId="164" fontId="5" fillId="0" borderId="0" xfId="0" applyNumberFormat="1" applyFont="1" applyFill="1" applyBorder="1" applyAlignment="1">
      <alignment horizontal="left" vertical="center"/>
    </xf>
    <xf numFmtId="2" fontId="5" fillId="4" borderId="0" xfId="0" applyNumberFormat="1" applyFont="1" applyFill="1" applyAlignment="1">
      <alignment horizontal="center"/>
    </xf>
    <xf numFmtId="164" fontId="5" fillId="4" borderId="0" xfId="0" applyNumberFormat="1" applyFont="1" applyFill="1" applyAlignment="1">
      <alignment horizontal="left" vertical="center"/>
    </xf>
    <xf numFmtId="0" fontId="0" fillId="4" borderId="0" xfId="0" applyFill="1"/>
    <xf numFmtId="165" fontId="0" fillId="4" borderId="0" xfId="0" applyNumberFormat="1" applyFill="1"/>
    <xf numFmtId="2" fontId="0" fillId="4" borderId="0" xfId="0" applyNumberFormat="1" applyFill="1"/>
    <xf numFmtId="4" fontId="0" fillId="4" borderId="0" xfId="0" applyNumberFormat="1" applyFill="1"/>
    <xf numFmtId="10" fontId="0" fillId="4" borderId="0" xfId="0" applyNumberFormat="1" applyFill="1"/>
    <xf numFmtId="2" fontId="4" fillId="4" borderId="0" xfId="0" applyNumberFormat="1" applyFont="1" applyFill="1" applyAlignment="1">
      <alignment horizontal="center"/>
    </xf>
    <xf numFmtId="0" fontId="6" fillId="4" borderId="0" xfId="0" applyFont="1" applyFill="1"/>
    <xf numFmtId="0" fontId="3" fillId="4" borderId="0" xfId="0" applyFont="1" applyFill="1" applyAlignment="1">
      <alignment horizontal="left"/>
    </xf>
    <xf numFmtId="2" fontId="3" fillId="4" borderId="0" xfId="0" applyNumberFormat="1" applyFont="1" applyFill="1" applyAlignment="1">
      <alignment horizontal="left"/>
    </xf>
    <xf numFmtId="2" fontId="8" fillId="4" borderId="0" xfId="0" applyNumberFormat="1" applyFont="1" applyFill="1" applyAlignment="1">
      <alignment vertical="top"/>
    </xf>
    <xf numFmtId="0" fontId="9" fillId="3" borderId="0" xfId="1"/>
    <xf numFmtId="2" fontId="9" fillId="3" borderId="0" xfId="1" applyNumberFormat="1"/>
    <xf numFmtId="2" fontId="9" fillId="3" borderId="0" xfId="1" applyNumberFormat="1" applyAlignment="1">
      <alignment horizontal="center"/>
    </xf>
    <xf numFmtId="0" fontId="9" fillId="3" borderId="0" xfId="1" applyAlignment="1">
      <alignment horizontal="center"/>
    </xf>
    <xf numFmtId="0" fontId="0" fillId="5" borderId="0" xfId="0" applyFill="1"/>
    <xf numFmtId="2" fontId="0" fillId="5" borderId="0" xfId="0" applyNumberFormat="1" applyFill="1" applyAlignment="1">
      <alignment horizontal="center"/>
    </xf>
    <xf numFmtId="0" fontId="0" fillId="5" borderId="0" xfId="0" applyFill="1" applyAlignment="1">
      <alignment horizontal="center"/>
    </xf>
    <xf numFmtId="2" fontId="5" fillId="5" borderId="0" xfId="0" applyNumberFormat="1" applyFont="1" applyFill="1"/>
    <xf numFmtId="2" fontId="5" fillId="5" borderId="0" xfId="0" applyNumberFormat="1" applyFont="1" applyFill="1" applyAlignment="1">
      <alignment horizontal="center"/>
    </xf>
    <xf numFmtId="164" fontId="5" fillId="5" borderId="0" xfId="0" applyNumberFormat="1" applyFont="1" applyFill="1" applyAlignment="1">
      <alignment horizontal="left" vertical="center"/>
    </xf>
    <xf numFmtId="165" fontId="0" fillId="5" borderId="0" xfId="0" applyNumberFormat="1" applyFill="1"/>
    <xf numFmtId="2" fontId="0" fillId="5" borderId="0" xfId="0" applyNumberFormat="1" applyFill="1"/>
    <xf numFmtId="4" fontId="0" fillId="5" borderId="0" xfId="0" applyNumberFormat="1" applyFill="1"/>
    <xf numFmtId="10" fontId="0" fillId="5" borderId="0" xfId="0" applyNumberFormat="1" applyFill="1"/>
    <xf numFmtId="2" fontId="3" fillId="6" borderId="0" xfId="0" applyNumberFormat="1" applyFont="1" applyFill="1"/>
    <xf numFmtId="0" fontId="7" fillId="7" borderId="0" xfId="0" applyFont="1" applyFill="1"/>
    <xf numFmtId="2" fontId="7" fillId="7" borderId="0" xfId="0" applyNumberFormat="1" applyFont="1" applyFill="1"/>
    <xf numFmtId="2" fontId="5" fillId="7" borderId="0" xfId="0" applyNumberFormat="1" applyFont="1" applyFill="1"/>
    <xf numFmtId="2" fontId="5" fillId="7" borderId="0" xfId="0" applyNumberFormat="1" applyFont="1" applyFill="1" applyAlignment="1">
      <alignment horizontal="center"/>
    </xf>
    <xf numFmtId="164" fontId="5" fillId="7" borderId="0" xfId="0" applyNumberFormat="1" applyFont="1" applyFill="1" applyAlignment="1">
      <alignment horizontal="left" vertical="center"/>
    </xf>
    <xf numFmtId="0" fontId="0" fillId="7" borderId="0" xfId="0" applyFill="1"/>
    <xf numFmtId="165" fontId="0" fillId="7" borderId="0" xfId="0" applyNumberFormat="1" applyFill="1"/>
    <xf numFmtId="2" fontId="0" fillId="7" borderId="0" xfId="0" applyNumberFormat="1" applyFill="1"/>
    <xf numFmtId="4" fontId="0" fillId="7" borderId="0" xfId="0" applyNumberFormat="1" applyFill="1"/>
    <xf numFmtId="10" fontId="0" fillId="7" borderId="0" xfId="0" applyNumberFormat="1" applyFill="1"/>
    <xf numFmtId="2" fontId="0" fillId="0" borderId="0" xfId="0" applyNumberFormat="1" applyFont="1"/>
    <xf numFmtId="166" fontId="0" fillId="0" borderId="0" xfId="0" applyNumberFormat="1" applyFont="1" applyAlignment="1">
      <alignment horizontal="center"/>
    </xf>
    <xf numFmtId="0" fontId="0" fillId="8" borderId="0" xfId="0" applyFont="1" applyFill="1"/>
    <xf numFmtId="2" fontId="0" fillId="0" borderId="3" xfId="0" applyNumberFormat="1" applyFont="1" applyBorder="1"/>
    <xf numFmtId="2" fontId="0" fillId="0" borderId="0" xfId="0" applyNumberFormat="1" applyFont="1" applyAlignment="1">
      <alignment horizontal="center"/>
    </xf>
    <xf numFmtId="4" fontId="0" fillId="0" borderId="0" xfId="0" applyNumberFormat="1" applyFont="1" applyAlignment="1">
      <alignment horizontal="center"/>
    </xf>
    <xf numFmtId="4" fontId="0" fillId="0" borderId="0" xfId="0" applyNumberFormat="1" applyFont="1" applyFill="1" applyBorder="1" applyAlignment="1">
      <alignment horizontal="center" vertical="center"/>
    </xf>
    <xf numFmtId="10" fontId="0" fillId="0" borderId="0" xfId="0" applyNumberFormat="1" applyFont="1" applyAlignment="1">
      <alignment horizontal="center"/>
    </xf>
    <xf numFmtId="165" fontId="0" fillId="0" borderId="0" xfId="0" applyNumberFormat="1" applyFont="1" applyBorder="1" applyAlignment="1">
      <alignment horizontal="center"/>
    </xf>
    <xf numFmtId="2" fontId="0" fillId="0" borderId="0" xfId="0" applyNumberFormat="1" applyFont="1" applyBorder="1" applyAlignment="1">
      <alignment horizontal="center"/>
    </xf>
    <xf numFmtId="4" fontId="0" fillId="0" borderId="4" xfId="0" applyNumberFormat="1" applyFont="1" applyBorder="1" applyAlignment="1">
      <alignment horizontal="center"/>
    </xf>
    <xf numFmtId="10" fontId="0" fillId="0" borderId="0" xfId="0" applyNumberFormat="1" applyFont="1" applyBorder="1" applyAlignment="1">
      <alignment horizontal="center"/>
    </xf>
    <xf numFmtId="4" fontId="0" fillId="0" borderId="0" xfId="0" applyNumberFormat="1" applyFont="1" applyBorder="1" applyAlignment="1">
      <alignment horizontal="center"/>
    </xf>
    <xf numFmtId="10" fontId="0" fillId="0" borderId="3" xfId="0" applyNumberFormat="1" applyFont="1" applyBorder="1" applyAlignment="1">
      <alignment horizontal="center"/>
    </xf>
    <xf numFmtId="0" fontId="12" fillId="4" borderId="1" xfId="3" applyFont="1" applyFill="1"/>
    <xf numFmtId="0" fontId="12" fillId="2" borderId="1" xfId="3" applyFont="1" applyFill="1"/>
    <xf numFmtId="2" fontId="12" fillId="4" borderId="1" xfId="3" applyNumberFormat="1" applyFont="1" applyFill="1" applyAlignment="1">
      <alignment horizontal="center"/>
    </xf>
    <xf numFmtId="0" fontId="12" fillId="4" borderId="1" xfId="3" applyFont="1" applyFill="1" applyAlignment="1">
      <alignment horizontal="left"/>
    </xf>
    <xf numFmtId="0" fontId="12" fillId="4" borderId="1" xfId="3" applyFont="1" applyFill="1" applyAlignment="1">
      <alignment horizontal="center"/>
    </xf>
    <xf numFmtId="165" fontId="12" fillId="4" borderId="1" xfId="3" applyNumberFormat="1" applyFont="1" applyFill="1"/>
    <xf numFmtId="2" fontId="12" fillId="4" borderId="1" xfId="3" applyNumberFormat="1" applyFont="1" applyFill="1"/>
    <xf numFmtId="4" fontId="12" fillId="4" borderId="1" xfId="3" applyNumberFormat="1" applyFont="1" applyFill="1"/>
    <xf numFmtId="10" fontId="12" fillId="4" borderId="1" xfId="3" applyNumberFormat="1" applyFont="1" applyFill="1"/>
    <xf numFmtId="0" fontId="0" fillId="7" borderId="0" xfId="0" applyFont="1" applyFill="1"/>
    <xf numFmtId="2" fontId="0" fillId="7" borderId="0" xfId="0" applyNumberFormat="1" applyFont="1" applyFill="1"/>
    <xf numFmtId="0" fontId="6" fillId="6" borderId="0" xfId="0" applyFont="1" applyFill="1" applyBorder="1" applyAlignment="1">
      <alignment horizontal="right"/>
    </xf>
    <xf numFmtId="0" fontId="6" fillId="6" borderId="0" xfId="0" applyFont="1" applyFill="1" applyBorder="1"/>
    <xf numFmtId="2" fontId="6" fillId="6" borderId="0" xfId="0" applyNumberFormat="1" applyFont="1" applyFill="1" applyBorder="1"/>
    <xf numFmtId="0" fontId="0" fillId="6" borderId="0" xfId="0" applyFont="1" applyFill="1"/>
    <xf numFmtId="2" fontId="13" fillId="0" borderId="2" xfId="4" applyNumberFormat="1" applyFont="1"/>
    <xf numFmtId="0" fontId="9" fillId="3" borderId="0" xfId="1" applyAlignment="1">
      <alignment horizontal="left"/>
    </xf>
    <xf numFmtId="0" fontId="6" fillId="7" borderId="0" xfId="0" applyFont="1" applyFill="1" applyAlignment="1">
      <alignment horizontal="right"/>
    </xf>
    <xf numFmtId="0" fontId="6" fillId="7" borderId="0" xfId="0" applyFont="1" applyFill="1"/>
    <xf numFmtId="2" fontId="6" fillId="7" borderId="0" xfId="0" applyNumberFormat="1" applyFont="1" applyFill="1"/>
    <xf numFmtId="165" fontId="9" fillId="3" borderId="0" xfId="1" applyNumberFormat="1" applyAlignment="1">
      <alignment horizontal="center"/>
    </xf>
    <xf numFmtId="4" fontId="9" fillId="3" borderId="0" xfId="1" applyNumberFormat="1" applyAlignment="1">
      <alignment horizontal="center"/>
    </xf>
    <xf numFmtId="10" fontId="9" fillId="3" borderId="0" xfId="1" applyNumberFormat="1" applyAlignment="1">
      <alignment horizontal="center"/>
    </xf>
    <xf numFmtId="10" fontId="9" fillId="3" borderId="5" xfId="1" applyNumberFormat="1" applyBorder="1" applyAlignment="1">
      <alignment horizontal="center"/>
    </xf>
    <xf numFmtId="10" fontId="0" fillId="0" borderId="6" xfId="0" applyNumberFormat="1" applyFont="1" applyBorder="1" applyAlignment="1">
      <alignment horizontal="center"/>
    </xf>
    <xf numFmtId="43" fontId="0" fillId="0" borderId="0" xfId="2" applyFont="1" applyAlignment="1">
      <alignment horizontal="center"/>
    </xf>
    <xf numFmtId="43" fontId="0" fillId="0" borderId="0" xfId="2" applyFont="1"/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2" fontId="0" fillId="0" borderId="0" xfId="0" applyNumberFormat="1" applyFont="1" applyBorder="1"/>
    <xf numFmtId="2" fontId="0" fillId="0" borderId="3" xfId="0" applyNumberFormat="1" applyBorder="1"/>
    <xf numFmtId="2" fontId="13" fillId="0" borderId="3" xfId="4" applyNumberFormat="1" applyFont="1" applyBorder="1"/>
    <xf numFmtId="2" fontId="0" fillId="0" borderId="2" xfId="0" applyNumberFormat="1" applyBorder="1"/>
    <xf numFmtId="10" fontId="0" fillId="0" borderId="6" xfId="0" applyNumberFormat="1" applyBorder="1"/>
    <xf numFmtId="4" fontId="0" fillId="0" borderId="4" xfId="0" applyNumberFormat="1" applyBorder="1"/>
    <xf numFmtId="10" fontId="0" fillId="0" borderId="5" xfId="0" applyNumberFormat="1" applyBorder="1"/>
    <xf numFmtId="10" fontId="0" fillId="0" borderId="3" xfId="0" applyNumberFormat="1" applyBorder="1"/>
    <xf numFmtId="10" fontId="9" fillId="3" borderId="0" xfId="1" applyNumberFormat="1" applyBorder="1" applyAlignment="1">
      <alignment horizontal="center"/>
    </xf>
    <xf numFmtId="14" fontId="0" fillId="0" borderId="0" xfId="0" applyNumberFormat="1"/>
    <xf numFmtId="3" fontId="0" fillId="0" borderId="0" xfId="0" applyNumberFormat="1"/>
    <xf numFmtId="4" fontId="6" fillId="0" borderId="0" xfId="0" applyNumberFormat="1" applyFont="1"/>
    <xf numFmtId="3" fontId="6" fillId="0" borderId="0" xfId="0" applyNumberFormat="1" applyFont="1"/>
    <xf numFmtId="0" fontId="15" fillId="0" borderId="7" xfId="6" applyBorder="1" applyAlignment="1">
      <alignment vertical="center" wrapText="1"/>
    </xf>
    <xf numFmtId="0" fontId="15" fillId="0" borderId="8" xfId="6" applyBorder="1" applyAlignment="1">
      <alignment vertical="center" wrapText="1"/>
    </xf>
    <xf numFmtId="9" fontId="0" fillId="0" borderId="0" xfId="0" applyNumberFormat="1"/>
    <xf numFmtId="0" fontId="2" fillId="4" borderId="0" xfId="0" applyFont="1" applyFill="1"/>
  </cellXfs>
  <cellStyles count="7">
    <cellStyle name="40% - Accent1" xfId="1" builtinId="31"/>
    <cellStyle name="Comma" xfId="2" builtinId="3"/>
    <cellStyle name="Heading 1" xfId="3" builtinId="16"/>
    <cellStyle name="Heading 2" xfId="4" builtinId="17"/>
    <cellStyle name="Hyperlink" xfId="6" builtinId="8"/>
    <cellStyle name="Normal" xfId="0" builtinId="0"/>
    <cellStyle name="Normal 2" xfId="5"/>
  </cellStyles>
  <dxfs count="16">
    <dxf>
      <font>
        <color rgb="FF9C0006"/>
      </font>
    </dxf>
    <dxf>
      <font>
        <color rgb="FF008000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rgb="FF008000"/>
      </font>
      <fill>
        <patternFill patternType="none">
          <fgColor indexed="64"/>
          <bgColor indexed="65"/>
        </patternFill>
      </fill>
    </dxf>
    <dxf>
      <font>
        <color rgb="FF9C0006"/>
      </font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rgb="FF9C0006"/>
      </font>
    </dxf>
    <dxf>
      <font>
        <color rgb="FF008000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rgb="FF008000"/>
      </font>
      <fill>
        <patternFill patternType="none">
          <fgColor indexed="64"/>
          <bgColor indexed="65"/>
        </patternFill>
      </fill>
    </dxf>
    <dxf>
      <font>
        <color rgb="FF9C0006"/>
      </font>
    </dxf>
    <dxf>
      <font>
        <color auto="1"/>
      </font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4">
    <tableStyle name="MySqlDefault" pivot="0" table="0" count="2">
      <tableStyleElement type="wholeTable" dxfId="15"/>
      <tableStyleElement type="headerRow" dxfId="14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450850</xdr:colOff>
          <xdr:row>2</xdr:row>
          <xdr:rowOff>76200</xdr:rowOff>
        </xdr:from>
        <xdr:to>
          <xdr:col>12</xdr:col>
          <xdr:colOff>0</xdr:colOff>
          <xdr:row>3</xdr:row>
          <xdr:rowOff>374650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 Black"/>
                </a:rPr>
                <a:t>Click to Download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28575</xdr:rowOff>
    </xdr:from>
    <xdr:to>
      <xdr:col>9</xdr:col>
      <xdr:colOff>600075</xdr:colOff>
      <xdr:row>102</xdr:row>
      <xdr:rowOff>66675</xdr:rowOff>
    </xdr:to>
    <xdr:pic>
      <xdr:nvPicPr>
        <xdr:cNvPr id="2082" name="Picture 1">
          <a:extLst>
            <a:ext uri="{FF2B5EF4-FFF2-40B4-BE49-F238E27FC236}">
              <a16:creationId xmlns:a16="http://schemas.microsoft.com/office/drawing/2014/main" id="{00000000-0008-0000-0100-00002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7419975" cy="16554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ExternalData234" headers="0" preserveFormatting="0" adjustColumnWidth="0" connectionId="42" autoFormatId="0" applyNumberFormats="0" applyBorderFormats="0" applyFontFormats="0" applyPatternFormats="0" applyAlignmentFormats="0" applyWidthHeightFormats="1"/>
</file>

<file path=xl/queryTables/queryTable2.xml><?xml version="1.0" encoding="utf-8"?>
<queryTable xmlns="http://schemas.openxmlformats.org/spreadsheetml/2006/main" name="ExternalData62" headers="0" preserveFormatting="0" adjustColumnWidth="0" connectionId="290" autoFormatId="0" applyNumberFormats="0" applyBorderFormats="0" applyFontFormats="0" applyPatternFormats="0" applyAlignmentFormats="0" applyWidthHeightFormats="1"/>
</file>

<file path=xl/queryTables/queryTable3.xml><?xml version="1.0" encoding="utf-8"?>
<queryTable xmlns="http://schemas.openxmlformats.org/spreadsheetml/2006/main" name="ExternalData_29" headers="0" connectionId="137" autoFormatId="0" applyNumberFormats="0" applyBorderFormats="0" applyFontFormats="0" applyPatternFormats="0" applyAlignmentFormats="0" applyWidthHeightFormats="1"/>
</file>

<file path=xl/queryTables/queryTable4.xml><?xml version="1.0" encoding="utf-8"?>
<queryTable xmlns="http://schemas.openxmlformats.org/spreadsheetml/2006/main" name="ExternalData_57" headers="0" connectionId="198" autoFormatId="0" applyNumberFormats="0" applyBorderFormats="0" applyFontFormats="0" applyPatternFormats="0" applyAlignmentFormats="0" applyWidthHeightFormats="1"/>
</file>

<file path=xl/queryTables/queryTable5.xml><?xml version="1.0" encoding="utf-8"?>
<queryTable xmlns="http://schemas.openxmlformats.org/spreadsheetml/2006/main" name="ExternalData24" headers="0" preserveFormatting="0" adjustColumnWidth="0" connectionId="106" autoFormatId="0" applyNumberFormats="0" applyBorderFormats="0" applyFontFormats="0" applyPatternFormats="0" applyAlignmentFormats="0" applyWidthHeightFormats="1"/>
</file>

<file path=xl/queryTables/queryTable6.xml><?xml version="1.0" encoding="utf-8"?>
<queryTable xmlns="http://schemas.openxmlformats.org/spreadsheetml/2006/main" name="ExternalData_73" connectionId="23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53" headers="0" preserveFormatting="0" adjustColumnWidth="0" connectionId="310" autoFormatId="0" applyNumberFormats="0" applyBorderFormats="0" applyFontFormats="0" applyPatternFormats="0" applyAlignmentFormats="0" applyWidthHeightFormats="1"/>
</file>

<file path=xl/queryTables/queryTable8.xml><?xml version="1.0" encoding="utf-8"?>
<queryTable xmlns="http://schemas.openxmlformats.org/spreadsheetml/2006/main" name="ExternalData_55" headers="0" connectionId="194" autoFormatId="0" applyNumberFormats="0" applyBorderFormats="0" applyFontFormats="0" applyPatternFormats="0" applyAlignmentFormats="0" applyWidthHeightFormats="1"/>
</file>

<file path=xl/queryTables/queryTable9.xml><?xml version="1.0" encoding="utf-8"?>
<queryTable xmlns="http://schemas.openxmlformats.org/spreadsheetml/2006/main" name="ExternalData67" headers="0" preserveFormatting="0" adjustColumnWidth="0" connectionId="262" autoFormatId="0" applyNumberFormats="0" applyBorderFormats="0" applyFontFormats="0" applyPatternFormats="0" applyAlignmentFormats="0" applyWidthHeightFormats="1"/>
</file>

<file path=xl/queryTables/queryTable10.xml><?xml version="1.0" encoding="utf-8"?>
<queryTable xmlns="http://schemas.openxmlformats.org/spreadsheetml/2006/main" name="ExternalData257" headers="0" preserveFormatting="0" adjustColumnWidth="0" connectionId="438" autoFormatId="0" applyNumberFormats="0" applyBorderFormats="0" applyFontFormats="0" applyPatternFormats="0" applyAlignmentFormats="0" applyWidthHeightFormats="1"/>
</file>

<file path=xl/queryTables/queryTable11.xml><?xml version="1.0" encoding="utf-8"?>
<queryTable xmlns="http://schemas.openxmlformats.org/spreadsheetml/2006/main" name="ExternalData255" headers="0" preserveFormatting="0" adjustColumnWidth="0" connectionId="442" autoFormatId="0" applyNumberFormats="0" applyBorderFormats="0" applyFontFormats="0" applyPatternFormats="0" applyAlignmentFormats="0" applyWidthHeightFormats="1"/>
</file>

<file path=xl/queryTables/queryTable12.xml><?xml version="1.0" encoding="utf-8"?>
<queryTable xmlns="http://schemas.openxmlformats.org/spreadsheetml/2006/main" name="ExternalData271" headers="0" preserveFormatting="0" adjustColumnWidth="0" connectionId="407" autoFormatId="0" applyNumberFormats="0" applyBorderFormats="0" applyFontFormats="0" applyPatternFormats="0" applyAlignmentFormats="0" applyWidthHeightFormats="1"/>
</file>

<file path=xl/queryTables/queryTable13.xml><?xml version="1.0" encoding="utf-8"?>
<queryTable xmlns="http://schemas.openxmlformats.org/spreadsheetml/2006/main" name="ExternalData_67" connectionId="22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286" headers="0" preserveFormatting="0" adjustColumnWidth="0" connectionId="374" autoFormatId="0" applyNumberFormats="0" applyBorderFormats="0" applyFontFormats="0" applyPatternFormats="0" applyAlignmentFormats="0" applyWidthHeightFormats="1"/>
</file>

<file path=xl/queryTables/queryTable15.xml><?xml version="1.0" encoding="utf-8"?>
<queryTable xmlns="http://schemas.openxmlformats.org/spreadsheetml/2006/main" name="ExternalData_91" connectionId="26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36" headers="0" connectionId="152" autoFormatId="0" applyNumberFormats="0" applyBorderFormats="0" applyFontFormats="0" applyPatternFormats="0" applyAlignmentFormats="0" applyWidthHeightFormats="1"/>
</file>

<file path=xl/queryTables/queryTable17.xml><?xml version="1.0" encoding="utf-8"?>
<queryTable xmlns="http://schemas.openxmlformats.org/spreadsheetml/2006/main" name="ExternalData_26" headers="0" connectionId="224" autoFormatId="0" applyNumberFormats="0" applyBorderFormats="0" applyFontFormats="0" applyPatternFormats="0" applyAlignmentFormats="0" applyWidthHeightFormats="1"/>
</file>

<file path=xl/queryTables/queryTable18.xml><?xml version="1.0" encoding="utf-8"?>
<queryTable xmlns="http://schemas.openxmlformats.org/spreadsheetml/2006/main" name="ExternalData44" headers="0" preserveFormatting="0" adjustColumnWidth="0" connectionId="330" autoFormatId="0" applyNumberFormats="0" applyBorderFormats="0" applyFontFormats="0" applyPatternFormats="0" applyAlignmentFormats="0" applyWidthHeightFormats="1"/>
</file>

<file path=xl/queryTables/queryTable19.xml><?xml version="1.0" encoding="utf-8"?>
<queryTable xmlns="http://schemas.openxmlformats.org/spreadsheetml/2006/main" name="ExternalData_102" connectionId="28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252" headers="0" preserveFormatting="0" adjustColumnWidth="0" connectionId="448" autoFormatId="0" applyNumberFormats="0" applyBorderFormats="0" applyFontFormats="0" applyPatternFormats="0" applyAlignmentFormats="0" applyWidthHeightFormats="1"/>
</file>

<file path=xl/queryTables/queryTable21.xml><?xml version="1.0" encoding="utf-8"?>
<queryTable xmlns="http://schemas.openxmlformats.org/spreadsheetml/2006/main" name="ExternalData_96" connectionId="27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37" headers="0" preserveFormatting="0" adjustColumnWidth="0" connectionId="346" autoFormatId="0" applyNumberFormats="0" applyBorderFormats="0" applyFontFormats="0" applyPatternFormats="0" applyAlignmentFormats="0" applyWidthHeightFormats="1"/>
</file>

<file path=xl/queryTables/queryTable23.xml><?xml version="1.0" encoding="utf-8"?>
<queryTable xmlns="http://schemas.openxmlformats.org/spreadsheetml/2006/main" name="ExternalData_46" headers="0" connectionId="174" autoFormatId="0" applyNumberFormats="0" applyBorderFormats="0" applyFontFormats="0" applyPatternFormats="0" applyAlignmentFormats="0" applyWidthHeightFormats="1"/>
</file>

<file path=xl/queryTables/queryTable24.xml><?xml version="1.0" encoding="utf-8"?>
<queryTable xmlns="http://schemas.openxmlformats.org/spreadsheetml/2006/main" name="ExternalData251" headers="0" preserveFormatting="0" adjustColumnWidth="0" connectionId="4" autoFormatId="0" applyNumberFormats="0" applyBorderFormats="0" applyFontFormats="0" applyPatternFormats="0" applyAlignmentFormats="0" applyWidthHeightFormats="1"/>
</file>

<file path=xl/queryTables/queryTable25.xml><?xml version="1.0" encoding="utf-8"?>
<queryTable xmlns="http://schemas.openxmlformats.org/spreadsheetml/2006/main" name="ExternalData269" headers="0" preserveFormatting="0" adjustColumnWidth="0" connectionId="412" autoFormatId="0" applyNumberFormats="0" applyBorderFormats="0" applyFontFormats="0" applyPatternFormats="0" applyAlignmentFormats="0" applyWidthHeightFormats="1"/>
</file>

<file path=xl/queryTables/queryTable26.xml><?xml version="1.0" encoding="utf-8"?>
<queryTable xmlns="http://schemas.openxmlformats.org/spreadsheetml/2006/main" name="ExternalData281" headers="0" preserveFormatting="0" adjustColumnWidth="0" connectionId="385" autoFormatId="0" applyNumberFormats="0" applyBorderFormats="0" applyFontFormats="0" applyPatternFormats="0" applyAlignmentFormats="0" applyWidthHeightFormats="1"/>
</file>

<file path=xl/queryTables/queryTable27.xml><?xml version="1.0" encoding="utf-8"?>
<queryTable xmlns="http://schemas.openxmlformats.org/spreadsheetml/2006/main" name="ExternalData_56" headers="0" connectionId="196" autoFormatId="0" applyNumberFormats="0" applyBorderFormats="0" applyFontFormats="0" applyPatternFormats="0" applyAlignmentFormats="0" applyWidthHeightFormats="1"/>
</file>

<file path=xl/queryTables/queryTable28.xml><?xml version="1.0" encoding="utf-8"?>
<queryTable xmlns="http://schemas.openxmlformats.org/spreadsheetml/2006/main" name="ExternalData238" headers="0" preserveFormatting="0" adjustColumnWidth="0" connectionId="34" autoFormatId="0" applyNumberFormats="0" applyBorderFormats="0" applyFontFormats="0" applyPatternFormats="0" applyAlignmentFormats="0" applyWidthHeightFormats="1"/>
</file>

<file path=xl/queryTables/queryTable29.xml><?xml version="1.0" encoding="utf-8"?>
<queryTable xmlns="http://schemas.openxmlformats.org/spreadsheetml/2006/main" name="ExternalData261" headers="0" preserveFormatting="0" adjustColumnWidth="0" connectionId="429" autoFormatId="0" applyNumberFormats="0" applyBorderFormats="0" applyFontFormats="0" applyPatternFormats="0" applyAlignmentFormats="0" applyWidthHeightFormats="1"/>
</file>

<file path=xl/queryTables/queryTable30.xml><?xml version="1.0" encoding="utf-8"?>
<queryTable xmlns="http://schemas.openxmlformats.org/spreadsheetml/2006/main" name="ExternalData13" headers="0" preserveFormatting="0" adjustColumnWidth="0" connectionId="82" autoFormatId="0" applyNumberFormats="0" applyBorderFormats="0" applyFontFormats="0" applyPatternFormats="0" applyAlignmentFormats="0" applyWidthHeightFormats="1"/>
</file>

<file path=xl/queryTables/queryTable31.xml><?xml version="1.0" encoding="utf-8"?>
<queryTable xmlns="http://schemas.openxmlformats.org/spreadsheetml/2006/main" name="ExternalData_19" headers="0" connectionId="428" autoFormatId="0" applyNumberFormats="0" applyBorderFormats="0" applyFontFormats="0" applyPatternFormats="0" applyAlignmentFormats="0" applyWidthHeightFormats="1"/>
</file>

<file path=xl/queryTables/queryTable32.xml><?xml version="1.0" encoding="utf-8"?>
<queryTable xmlns="http://schemas.openxmlformats.org/spreadsheetml/2006/main" name="ExternalData263" headers="0" preserveFormatting="0" adjustColumnWidth="0" connectionId="424" autoFormatId="0" applyNumberFormats="0" applyBorderFormats="0" applyFontFormats="0" applyPatternFormats="0" applyAlignmentFormats="0" applyWidthHeightFormats="1"/>
</file>

<file path=xl/queryTables/queryTable33.xml><?xml version="1.0" encoding="utf-8"?>
<queryTable xmlns="http://schemas.openxmlformats.org/spreadsheetml/2006/main" name="ExternalData_38" headers="0" connectionId="156" autoFormatId="0" applyNumberFormats="0" applyBorderFormats="0" applyFontFormats="0" applyPatternFormats="0" applyAlignmentFormats="0" applyWidthHeightFormats="1"/>
</file>

<file path=xl/queryTables/queryTable34.xml><?xml version="1.0" encoding="utf-8"?>
<queryTable xmlns="http://schemas.openxmlformats.org/spreadsheetml/2006/main" name="ExternalData_71" connectionId="23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31" headers="0" preserveFormatting="0" adjustColumnWidth="0" connectionId="358" autoFormatId="0" applyNumberFormats="0" applyBorderFormats="0" applyFontFormats="0" applyPatternFormats="0" applyAlignmentFormats="0" applyWidthHeightFormats="1"/>
</file>

<file path=xl/queryTables/queryTable36.xml><?xml version="1.0" encoding="utf-8"?>
<queryTable xmlns="http://schemas.openxmlformats.org/spreadsheetml/2006/main" name="ExternalData248" headers="0" preserveFormatting="0" adjustColumnWidth="0" connectionId="11" autoFormatId="0" applyNumberFormats="0" applyBorderFormats="0" applyFontFormats="0" applyPatternFormats="0" applyAlignmentFormats="0" applyWidthHeightFormats="1"/>
</file>

<file path=xl/queryTables/queryTable37.xml><?xml version="1.0" encoding="utf-8"?>
<queryTable xmlns="http://schemas.openxmlformats.org/spreadsheetml/2006/main" name="ExternalData_63" headers="0" connectionId="212" autoFormatId="0" applyNumberFormats="0" applyBorderFormats="0" applyFontFormats="0" applyPatternFormats="0" applyAlignmentFormats="0" applyWidthHeightFormats="1"/>
</file>

<file path=xl/queryTables/queryTable38.xml><?xml version="1.0" encoding="utf-8"?>
<queryTable xmlns="http://schemas.openxmlformats.org/spreadsheetml/2006/main" name="ExternalData_5" headers="0" connectionId="122" autoFormatId="0" applyNumberFormats="0" applyBorderFormats="0" applyFontFormats="0" applyPatternFormats="0" applyAlignmentFormats="0" applyWidthHeightFormats="1"/>
</file>

<file path=xl/queryTables/queryTable39.xml><?xml version="1.0" encoding="utf-8"?>
<queryTable xmlns="http://schemas.openxmlformats.org/spreadsheetml/2006/main" name="ExternalData247" headers="0" preserveFormatting="0" adjustColumnWidth="0" connectionId="13" autoFormatId="0" applyNumberFormats="0" applyBorderFormats="0" applyFontFormats="0" applyPatternFormats="0" applyAlignmentFormats="0" applyWidthHeightFormats="1"/>
</file>

<file path=xl/queryTables/queryTable40.xml><?xml version="1.0" encoding="utf-8"?>
<queryTable xmlns="http://schemas.openxmlformats.org/spreadsheetml/2006/main" name="ExternalData_48" headers="0" connectionId="178" autoFormatId="0" applyNumberFormats="0" applyBorderFormats="0" applyFontFormats="0" applyPatternFormats="0" applyAlignmentFormats="0" applyWidthHeightFormats="1"/>
</file>

<file path=xl/queryTables/queryTable41.xml><?xml version="1.0" encoding="utf-8"?>
<queryTable xmlns="http://schemas.openxmlformats.org/spreadsheetml/2006/main" name="ExternalData239" headers="0" preserveFormatting="0" adjustColumnWidth="0" connectionId="32" autoFormatId="0" applyNumberFormats="0" applyBorderFormats="0" applyFontFormats="0" applyPatternFormats="0" applyAlignmentFormats="0" applyWidthHeightFormats="1"/>
</file>

<file path=xl/queryTables/queryTable42.xml><?xml version="1.0" encoding="utf-8"?>
<queryTable xmlns="http://schemas.openxmlformats.org/spreadsheetml/2006/main" name="ExternalData_35" headers="0" connectionId="150" autoFormatId="0" applyNumberFormats="0" applyBorderFormats="0" applyFontFormats="0" applyPatternFormats="0" applyAlignmentFormats="0" applyWidthHeightFormats="1"/>
</file>

<file path=xl/queryTables/queryTable43.xml><?xml version="1.0" encoding="utf-8"?>
<queryTable xmlns="http://schemas.openxmlformats.org/spreadsheetml/2006/main" name="ExternalData_12" headers="0" connectionId="136" autoFormatId="0" applyNumberFormats="0" applyBorderFormats="0" applyFontFormats="0" applyPatternFormats="0" applyAlignmentFormats="0" applyWidthHeightFormats="1"/>
</file>

<file path=xl/queryTables/queryTable44.xml><?xml version="1.0" encoding="utf-8"?>
<queryTable xmlns="http://schemas.openxmlformats.org/spreadsheetml/2006/main" name="ExternalData240" headers="0" preserveFormatting="0" adjustColumnWidth="0" connectionId="29" autoFormatId="0" applyNumberFormats="0" applyBorderFormats="0" applyFontFormats="0" applyPatternFormats="0" applyAlignmentFormats="0" applyWidthHeightFormats="1"/>
</file>

<file path=xl/queryTables/queryTable45.xml><?xml version="1.0" encoding="utf-8"?>
<queryTable xmlns="http://schemas.openxmlformats.org/spreadsheetml/2006/main" name="ExternalData_54" headers="0" connectionId="192" autoFormatId="0" applyNumberFormats="0" applyBorderFormats="0" applyFontFormats="0" applyPatternFormats="0" applyAlignmentFormats="0" applyWidthHeightFormats="1"/>
</file>

<file path=xl/queryTables/queryTable46.xml><?xml version="1.0" encoding="utf-8"?>
<queryTable xmlns="http://schemas.openxmlformats.org/spreadsheetml/2006/main" name="ExternalData245" headers="0" preserveFormatting="0" adjustColumnWidth="0" connectionId="17" autoFormatId="0" applyNumberFormats="0" applyBorderFormats="0" applyFontFormats="0" applyPatternFormats="0" applyAlignmentFormats="0" applyWidthHeightFormats="1"/>
</file>

<file path=xl/queryTables/queryTable47.xml><?xml version="1.0" encoding="utf-8"?>
<queryTable xmlns="http://schemas.openxmlformats.org/spreadsheetml/2006/main" name="ExternalData40" headers="0" preserveFormatting="0" adjustColumnWidth="0" connectionId="338" autoFormatId="0" applyNumberFormats="0" applyBorderFormats="0" applyFontFormats="0" applyPatternFormats="0" applyAlignmentFormats="0" applyWidthHeightFormats="1"/>
</file>

<file path=xl/queryTables/queryTable48.xml><?xml version="1.0" encoding="utf-8"?>
<queryTable xmlns="http://schemas.openxmlformats.org/spreadsheetml/2006/main" name="ExternalData265" headers="0" preserveFormatting="0" adjustColumnWidth="0" connectionId="420" autoFormatId="0" applyNumberFormats="0" applyBorderFormats="0" applyFontFormats="0" applyPatternFormats="0" applyAlignmentFormats="0" applyWidthHeightFormats="1"/>
</file>

<file path=xl/queryTables/queryTable49.xml><?xml version="1.0" encoding="utf-8"?>
<queryTable xmlns="http://schemas.openxmlformats.org/spreadsheetml/2006/main" name="ExternalData34" headers="0" preserveFormatting="0" adjustColumnWidth="0" connectionId="352" autoFormatId="0" applyNumberFormats="0" applyBorderFormats="0" applyFontFormats="0" applyPatternFormats="0" applyAlignmentFormats="0" applyWidthHeightFormats="1"/>
</file>

<file path=xl/queryTables/queryTable50.xml><?xml version="1.0" encoding="utf-8"?>
<queryTable xmlns="http://schemas.openxmlformats.org/spreadsheetml/2006/main" name="ExternalData_28" headers="0" connectionId="1" autoFormatId="0" applyNumberFormats="0" applyBorderFormats="0" applyFontFormats="0" applyPatternFormats="0" applyAlignmentFormats="0" applyWidthHeightFormats="1"/>
</file>

<file path=xl/queryTables/queryTable51.xml><?xml version="1.0" encoding="utf-8"?>
<queryTable xmlns="http://schemas.openxmlformats.org/spreadsheetml/2006/main" name="ExternalData272" headers="0" preserveFormatting="0" adjustColumnWidth="0" connectionId="404" autoFormatId="0" applyNumberFormats="0" applyBorderFormats="0" applyFontFormats="0" applyPatternFormats="0" applyAlignmentFormats="0" applyWidthHeightFormats="1"/>
</file>

<file path=xl/queryTables/queryTable52.xml><?xml version="1.0" encoding="utf-8"?>
<queryTable xmlns="http://schemas.openxmlformats.org/spreadsheetml/2006/main" name="ExternalData_24" headers="0" connectionId="318" autoFormatId="0" applyNumberFormats="0" applyBorderFormats="0" applyFontFormats="0" applyPatternFormats="0" applyAlignmentFormats="0" applyWidthHeightFormats="1"/>
</file>

<file path=xl/queryTables/queryTable53.xml><?xml version="1.0" encoding="utf-8"?>
<queryTable xmlns="http://schemas.openxmlformats.org/spreadsheetml/2006/main" name="ExternalData_72" connectionId="2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270" headers="0" preserveFormatting="0" adjustColumnWidth="0" connectionId="409" autoFormatId="0" applyNumberFormats="0" applyBorderFormats="0" applyFontFormats="0" applyPatternFormats="0" applyAlignmentFormats="0" applyWidthHeightFormats="1"/>
</file>

<file path=xl/queryTables/queryTable55.xml><?xml version="1.0" encoding="utf-8"?>
<queryTable xmlns="http://schemas.openxmlformats.org/spreadsheetml/2006/main" name="ExternalData17" headers="0" preserveFormatting="0" adjustColumnWidth="0" connectionId="90" autoFormatId="0" applyNumberFormats="0" applyBorderFormats="0" applyFontFormats="0" applyPatternFormats="0" applyAlignmentFormats="0" applyWidthHeightFormats="1"/>
</file>

<file path=xl/queryTables/queryTable56.xml><?xml version="1.0" encoding="utf-8"?>
<queryTable xmlns="http://schemas.openxmlformats.org/spreadsheetml/2006/main" name="ExternalData_90" connectionId="26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15" headers="0" preserveFormatting="0" adjustColumnWidth="0" connectionId="86" autoFormatId="0" applyNumberFormats="0" applyBorderFormats="0" applyFontFormats="0" applyPatternFormats="0" applyAlignmentFormats="0" applyWidthHeightFormats="1"/>
</file>

<file path=xl/queryTables/queryTable58.xml><?xml version="1.0" encoding="utf-8"?>
<queryTable xmlns="http://schemas.openxmlformats.org/spreadsheetml/2006/main" name="ExternalData71" headers="0" preserveFormatting="0" adjustColumnWidth="0" connectionId="180" autoFormatId="0" applyNumberFormats="0" applyBorderFormats="0" applyFontFormats="0" applyPatternFormats="0" applyAlignmentFormats="0" applyWidthHeightFormats="1"/>
</file>

<file path=xl/queryTables/queryTable59.xml><?xml version="1.0" encoding="utf-8"?>
<queryTable xmlns="http://schemas.openxmlformats.org/spreadsheetml/2006/main" name="ExternalData_20" headers="0" connectionId="406" autoFormatId="0" applyNumberFormats="0" applyBorderFormats="0" applyFontFormats="0" applyPatternFormats="0" applyAlignmentFormats="0" applyWidthHeightFormats="1"/>
</file>

<file path=xl/queryTables/queryTable60.xml><?xml version="1.0" encoding="utf-8"?>
<queryTable xmlns="http://schemas.openxmlformats.org/spreadsheetml/2006/main" name="ExternalData72" headers="0" preserveFormatting="0" adjustColumnWidth="0" connectionId="158" autoFormatId="0" applyNumberFormats="0" applyBorderFormats="0" applyFontFormats="0" applyPatternFormats="0" applyAlignmentFormats="0" applyWidthHeightFormats="1"/>
</file>

<file path=xl/queryTables/queryTable61.xml><?xml version="1.0" encoding="utf-8"?>
<queryTable xmlns="http://schemas.openxmlformats.org/spreadsheetml/2006/main" name="ExternalData63" headers="0" preserveFormatting="0" adjustColumnWidth="0" connectionId="288" autoFormatId="0" applyNumberFormats="0" applyBorderFormats="0" applyFontFormats="0" applyPatternFormats="0" applyAlignmentFormats="0" applyWidthHeightFormats="1"/>
</file>

<file path=xl/queryTables/queryTable62.xml><?xml version="1.0" encoding="utf-8"?>
<queryTable xmlns="http://schemas.openxmlformats.org/spreadsheetml/2006/main" name="ExternalData49" headers="0" preserveFormatting="0" adjustColumnWidth="0" connectionId="319" autoFormatId="0" applyNumberFormats="0" applyBorderFormats="0" applyFontFormats="0" applyPatternFormats="0" applyAlignmentFormats="0" applyWidthHeightFormats="1"/>
</file>

<file path=xl/queryTables/queryTable63.xml><?xml version="1.0" encoding="utf-8"?>
<queryTable xmlns="http://schemas.openxmlformats.org/spreadsheetml/2006/main" name="ExternalData250" headers="0" preserveFormatting="0" adjustColumnWidth="0" connectionId="6" autoFormatId="0" applyNumberFormats="0" applyBorderFormats="0" applyFontFormats="0" applyPatternFormats="0" applyAlignmentFormats="0" applyWidthHeightFormats="1"/>
</file>

<file path=xl/queryTables/queryTable64.xml><?xml version="1.0" encoding="utf-8"?>
<queryTable xmlns="http://schemas.openxmlformats.org/spreadsheetml/2006/main" name="ExternalData_2" headers="0" connectionId="115" autoFormatId="0" applyNumberFormats="0" applyBorderFormats="0" applyFontFormats="0" applyPatternFormats="0" applyAlignmentFormats="0" applyWidthHeightFormats="1"/>
</file>

<file path=xl/queryTables/queryTable65.xml><?xml version="1.0" encoding="utf-8"?>
<queryTable xmlns="http://schemas.openxmlformats.org/spreadsheetml/2006/main" name="ExternalData_62" headers="0" connectionId="210" autoFormatId="0" applyNumberFormats="0" applyBorderFormats="0" applyFontFormats="0" applyPatternFormats="0" applyAlignmentFormats="0" applyWidthHeightFormats="1"/>
</file>

<file path=xl/queryTables/queryTable66.xml><?xml version="1.0" encoding="utf-8"?>
<queryTable xmlns="http://schemas.openxmlformats.org/spreadsheetml/2006/main" name="ExternalData52" headers="0" preserveFormatting="0" adjustColumnWidth="0" connectionId="312" autoFormatId="0" applyNumberFormats="0" applyBorderFormats="0" applyFontFormats="0" applyPatternFormats="0" applyAlignmentFormats="0" applyWidthHeightFormats="1"/>
</file>

<file path=xl/queryTables/queryTable67.xml><?xml version="1.0" encoding="utf-8"?>
<queryTable xmlns="http://schemas.openxmlformats.org/spreadsheetml/2006/main" name="ExternalData59" headers="0" preserveFormatting="0" adjustColumnWidth="0" connectionId="297" autoFormatId="0" applyNumberFormats="0" applyBorderFormats="0" applyFontFormats="0" applyPatternFormats="0" applyAlignmentFormats="0" applyWidthHeightFormats="1"/>
</file>

<file path=xl/queryTables/queryTable68.xml><?xml version="1.0" encoding="utf-8"?>
<queryTable xmlns="http://schemas.openxmlformats.org/spreadsheetml/2006/main" name="ExternalData277" headers="0" preserveFormatting="0" adjustColumnWidth="0" connectionId="394" autoFormatId="0" applyNumberFormats="0" applyBorderFormats="0" applyFontFormats="0" applyPatternFormats="0" applyAlignmentFormats="0" applyWidthHeightFormats="1"/>
</file>

<file path=xl/queryTables/queryTable69.xml><?xml version="1.0" encoding="utf-8"?>
<queryTable xmlns="http://schemas.openxmlformats.org/spreadsheetml/2006/main" name="ExternalData_16" headers="0" connectionId="48" autoFormatId="0" applyNumberFormats="0" applyBorderFormats="0" applyFontFormats="0" applyPatternFormats="0" applyAlignmentFormats="0" applyWidthHeightFormats="1"/>
</file>

<file path=xl/queryTables/queryTable70.xml><?xml version="1.0" encoding="utf-8"?>
<queryTable xmlns="http://schemas.openxmlformats.org/spreadsheetml/2006/main" name="ExternalData249" headers="0" preserveFormatting="0" adjustColumnWidth="0" connectionId="9" autoFormatId="0" applyNumberFormats="0" applyBorderFormats="0" applyFontFormats="0" applyPatternFormats="0" applyAlignmentFormats="0" applyWidthHeightFormats="1"/>
</file>

<file path=xl/queryTables/queryTable71.xml><?xml version="1.0" encoding="utf-8"?>
<queryTable xmlns="http://schemas.openxmlformats.org/spreadsheetml/2006/main" name="ExternalData_30" headers="0" connectionId="139" autoFormatId="0" applyNumberFormats="0" applyBorderFormats="0" applyFontFormats="0" applyPatternFormats="0" applyAlignmentFormats="0" applyWidthHeightFormats="1"/>
</file>

<file path=xl/queryTables/queryTable72.xml><?xml version="1.0" encoding="utf-8"?>
<queryTable xmlns="http://schemas.openxmlformats.org/spreadsheetml/2006/main" name="ExternalData_49" headers="0" connectionId="181" autoFormatId="0" applyNumberFormats="0" applyBorderFormats="0" applyFontFormats="0" applyPatternFormats="0" applyAlignmentFormats="0" applyWidthHeightFormats="1"/>
</file>

<file path=xl/queryTables/queryTable73.xml><?xml version="1.0" encoding="utf-8"?>
<queryTable xmlns="http://schemas.openxmlformats.org/spreadsheetml/2006/main" name="ExternalData25" headers="0" preserveFormatting="0" adjustColumnWidth="0" connectionId="108" autoFormatId="0" applyNumberFormats="0" applyBorderFormats="0" applyFontFormats="0" applyPatternFormats="0" applyAlignmentFormats="0" applyWidthHeightFormats="1"/>
</file>

<file path=xl/queryTables/queryTable74.xml><?xml version="1.0" encoding="utf-8"?>
<queryTable xmlns="http://schemas.openxmlformats.org/spreadsheetml/2006/main" name="ExternalData42" headers="0" preserveFormatting="0" adjustColumnWidth="0" connectionId="334" autoFormatId="0" applyNumberFormats="0" applyBorderFormats="0" applyFontFormats="0" applyPatternFormats="0" applyAlignmentFormats="0" applyWidthHeightFormats="1"/>
</file>

<file path=xl/queryTables/queryTable75.xml><?xml version="1.0" encoding="utf-8"?>
<queryTable xmlns="http://schemas.openxmlformats.org/spreadsheetml/2006/main" name="ExternalData283" headers="0" preserveFormatting="0" adjustColumnWidth="0" connectionId="380" autoFormatId="0" applyNumberFormats="0" applyBorderFormats="0" applyFontFormats="0" applyPatternFormats="0" applyAlignmentFormats="0" applyWidthHeightFormats="1"/>
</file>

<file path=xl/queryTables/queryTable76.xml><?xml version="1.0" encoding="utf-8"?>
<queryTable xmlns="http://schemas.openxmlformats.org/spreadsheetml/2006/main" name="ExternalData233" headers="0" preserveFormatting="0" adjustColumnWidth="0" connectionId="44" autoFormatId="0" applyNumberFormats="0" applyBorderFormats="0" applyFontFormats="0" applyPatternFormats="0" applyAlignmentFormats="0" applyWidthHeightFormats="1"/>
</file>

<file path=xl/queryTables/queryTable77.xml><?xml version="1.0" encoding="utf-8"?>
<queryTable xmlns="http://schemas.openxmlformats.org/spreadsheetml/2006/main" name="ExternalData_13" headers="0" connectionId="114" autoFormatId="0" applyNumberFormats="0" applyBorderFormats="0" applyFontFormats="0" applyPatternFormats="0" applyAlignmentFormats="0" applyWidthHeightFormats="1"/>
</file>

<file path=xl/queryTables/queryTable78.xml><?xml version="1.0" encoding="utf-8"?>
<queryTable xmlns="http://schemas.openxmlformats.org/spreadsheetml/2006/main" name="ExternalData_21" headers="0" connectionId="384" autoFormatId="0" applyNumberFormats="0" applyBorderFormats="0" applyFontFormats="0" applyPatternFormats="0" applyAlignmentFormats="0" applyWidthHeightFormats="1"/>
</file>

<file path=xl/queryTables/queryTable79.xml><?xml version="1.0" encoding="utf-8"?>
<queryTable xmlns="http://schemas.openxmlformats.org/spreadsheetml/2006/main" name="ExternalData3" headers="0" preserveFormatting="0" adjustColumnWidth="0" connectionId="80" autoFormatId="0" applyNumberFormats="0" applyBorderFormats="0" applyFontFormats="0" applyPatternFormats="0" applyAlignmentFormats="0" applyWidthHeightFormats="1"/>
</file>

<file path=xl/queryTables/queryTable80.xml><?xml version="1.0" encoding="utf-8"?>
<queryTable xmlns="http://schemas.openxmlformats.org/spreadsheetml/2006/main" name="ExternalData228" headers="0" preserveFormatting="0" adjustColumnWidth="0" connectionId="56" autoFormatId="0" applyNumberFormats="0" applyBorderFormats="0" applyFontFormats="0" applyPatternFormats="0" applyAlignmentFormats="0" applyWidthHeightFormats="1"/>
</file>

<file path=xl/queryTables/queryTable81.xml><?xml version="1.0" encoding="utf-8"?>
<queryTable xmlns="http://schemas.openxmlformats.org/spreadsheetml/2006/main" name="ExternalData14" headers="0" preserveFormatting="0" adjustColumnWidth="0" connectionId="84" autoFormatId="0" applyNumberFormats="0" applyBorderFormats="0" applyFontFormats="0" applyPatternFormats="0" applyAlignmentFormats="0" applyWidthHeightFormats="1"/>
</file>

<file path=xl/queryTables/queryTable82.xml><?xml version="1.0" encoding="utf-8"?>
<queryTable xmlns="http://schemas.openxmlformats.org/spreadsheetml/2006/main" name="ExternalData_100" connectionId="280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ExternalData206" headers="0" preserveFormatting="0" adjustColumnWidth="0" connectionId="78" autoFormatId="0" applyNumberFormats="0" applyBorderFormats="0" applyFontFormats="0" applyPatternFormats="0" applyAlignmentFormats="0" applyWidthHeightFormats="1"/>
</file>

<file path=xl/queryTables/queryTable84.xml><?xml version="1.0" encoding="utf-8"?>
<queryTable xmlns="http://schemas.openxmlformats.org/spreadsheetml/2006/main" name="ExternalData48" headers="0" preserveFormatting="0" adjustColumnWidth="0" connectionId="321" autoFormatId="0" applyNumberFormats="0" applyBorderFormats="0" applyFontFormats="0" applyPatternFormats="0" applyAlignmentFormats="0" applyWidthHeightFormats="1"/>
</file>

<file path=xl/queryTables/queryTable85.xml><?xml version="1.0" encoding="utf-8"?>
<queryTable xmlns="http://schemas.openxmlformats.org/spreadsheetml/2006/main" name="ExternalData243" headers="0" preserveFormatting="0" adjustColumnWidth="0" connectionId="21" autoFormatId="0" applyNumberFormats="0" applyBorderFormats="0" applyFontFormats="0" applyPatternFormats="0" applyAlignmentFormats="0" applyWidthHeightFormats="1"/>
</file>

<file path=xl/queryTables/queryTable86.xml><?xml version="1.0" encoding="utf-8"?>
<queryTable xmlns="http://schemas.openxmlformats.org/spreadsheetml/2006/main" name="ExternalData_85" connectionId="26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ExternalData280" headers="0" preserveFormatting="0" adjustColumnWidth="0" connectionId="387" autoFormatId="0" applyNumberFormats="0" applyBorderFormats="0" applyFontFormats="0" applyPatternFormats="0" applyAlignmentFormats="0" applyWidthHeightFormats="1"/>
</file>

<file path=xl/queryTables/queryTable88.xml><?xml version="1.0" encoding="utf-8"?>
<queryTable xmlns="http://schemas.openxmlformats.org/spreadsheetml/2006/main" name="ExternalData_81" connectionId="252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ExternalData278" headers="0" preserveFormatting="0" adjustColumnWidth="0" connectionId="392" autoFormatId="0" applyNumberFormats="0" applyBorderFormats="0" applyFontFormats="0" applyPatternFormats="0" applyAlignmentFormats="0" applyWidthHeightFormats="1"/>
</file>

<file path=xl/queryTables/queryTable90.xml><?xml version="1.0" encoding="utf-8"?>
<queryTable xmlns="http://schemas.openxmlformats.org/spreadsheetml/2006/main" name="ExternalData282" headers="0" preserveFormatting="0" adjustColumnWidth="0" connectionId="382" autoFormatId="0" applyNumberFormats="0" applyBorderFormats="0" applyFontFormats="0" applyPatternFormats="0" applyAlignmentFormats="0" applyWidthHeightFormats="1"/>
</file>

<file path=xl/queryTables/queryTable91.xml><?xml version="1.0" encoding="utf-8"?>
<queryTable xmlns="http://schemas.openxmlformats.org/spreadsheetml/2006/main" name="ExternalData_43" headers="0" connectionId="168" autoFormatId="0" applyNumberFormats="0" applyBorderFormats="0" applyFontFormats="0" applyPatternFormats="0" applyAlignmentFormats="0" applyWidthHeightFormats="1"/>
</file>

<file path=xl/queryTables/queryTable92.xml><?xml version="1.0" encoding="utf-8"?>
<queryTable xmlns="http://schemas.openxmlformats.org/spreadsheetml/2006/main" name="ExternalData_7" headers="0" connectionId="126" autoFormatId="0" applyNumberFormats="0" applyBorderFormats="0" applyFontFormats="0" applyPatternFormats="0" applyAlignmentFormats="0" applyWidthHeightFormats="1"/>
</file>

<file path=xl/queryTables/queryTable93.xml><?xml version="1.0" encoding="utf-8"?>
<queryTable xmlns="http://schemas.openxmlformats.org/spreadsheetml/2006/main" name="ExternalData10" headers="0" preserveFormatting="0" adjustColumnWidth="0" connectionId="71" autoFormatId="0" applyNumberFormats="0" applyBorderFormats="0" applyFontFormats="0" applyPatternFormats="0" applyAlignmentFormats="0" applyWidthHeightFormats="1"/>
</file>

<file path=xl/queryTables/queryTable94.xml><?xml version="1.0" encoding="utf-8"?>
<queryTable xmlns="http://schemas.openxmlformats.org/spreadsheetml/2006/main" name="ExternalData253" headers="0" preserveFormatting="0" adjustColumnWidth="0" connectionId="446" autoFormatId="0" applyNumberFormats="0" applyBorderFormats="0" applyFontFormats="0" applyPatternFormats="0" applyAlignmentFormats="0" applyWidthHeightFormats="1"/>
</file>

<file path=xl/queryTables/queryTable95.xml><?xml version="1.0" encoding="utf-8"?>
<queryTable xmlns="http://schemas.openxmlformats.org/spreadsheetml/2006/main" name="ExternalData23" headers="0" preserveFormatting="0" adjustColumnWidth="0" connectionId="104" autoFormatId="0" applyNumberFormats="0" applyBorderFormats="0" applyFontFormats="0" applyPatternFormats="0" applyAlignmentFormats="0" applyWidthHeightFormats="1"/>
</file>

<file path=xl/queryTables/queryTable96.xml><?xml version="1.0" encoding="utf-8"?>
<queryTable xmlns="http://schemas.openxmlformats.org/spreadsheetml/2006/main" name="ExternalData12" headers="0" preserveFormatting="0" adjustColumnWidth="0" connectionId="76" autoFormatId="0" applyNumberFormats="0" applyBorderFormats="0" applyFontFormats="0" applyPatternFormats="0" applyAlignmentFormats="0" applyWidthHeightFormats="1"/>
</file>

<file path=xl/queryTables/queryTable97.xml><?xml version="1.0" encoding="utf-8"?>
<queryTable xmlns="http://schemas.openxmlformats.org/spreadsheetml/2006/main" name="ExternalData273" headers="0" preserveFormatting="0" adjustColumnWidth="0" connectionId="402" autoFormatId="0" applyNumberFormats="0" applyBorderFormats="0" applyFontFormats="0" applyPatternFormats="0" applyAlignmentFormats="0" applyWidthHeightFormats="1"/>
</file>

<file path=xl/queryTables/queryTable98.xml><?xml version="1.0" encoding="utf-8"?>
<queryTable xmlns="http://schemas.openxmlformats.org/spreadsheetml/2006/main" name="ExternalData_60" headers="0" connectionId="205" autoFormatId="0" applyNumberFormats="0" applyBorderFormats="0" applyFontFormats="0" applyPatternFormats="0" applyAlignmentFormats="0" applyWidthHeightFormats="1"/>
</file>

<file path=xl/queryTables/queryTable99.xml><?xml version="1.0" encoding="utf-8"?>
<queryTable xmlns="http://schemas.openxmlformats.org/spreadsheetml/2006/main" name="ExternalData_64" headers="0" connectionId="214" autoFormatId="0" applyNumberFormats="0" applyBorderFormats="0" applyFontFormats="0" applyPatternFormats="0" applyAlignmentFormats="0" applyWidthHeightFormats="1"/>
</file>

<file path=xl/queryTables/queryTable100.xml><?xml version="1.0" encoding="utf-8"?>
<queryTable xmlns="http://schemas.openxmlformats.org/spreadsheetml/2006/main" name="ExternalData_9" headers="0" connectionId="130" autoFormatId="0" applyNumberFormats="0" applyBorderFormats="0" applyFontFormats="0" applyPatternFormats="0" applyAlignmentFormats="0" applyWidthHeightFormats="1"/>
</file>

<file path=xl/queryTables/queryTable101.xml><?xml version="1.0" encoding="utf-8"?>
<queryTable xmlns="http://schemas.openxmlformats.org/spreadsheetml/2006/main" name="ExternalData_8" headers="0" connectionId="128" autoFormatId="0" applyNumberFormats="0" applyBorderFormats="0" applyFontFormats="0" applyPatternFormats="0" applyAlignmentFormats="0" applyWidthHeightFormats="1"/>
</file>

<file path=xl/queryTables/queryTable102.xml><?xml version="1.0" encoding="utf-8"?>
<queryTable xmlns="http://schemas.openxmlformats.org/spreadsheetml/2006/main" name="ExternalData_14" headers="0" connectionId="92" autoFormatId="0" applyNumberFormats="0" applyBorderFormats="0" applyFontFormats="0" applyPatternFormats="0" applyAlignmentFormats="0" applyWidthHeightFormats="1"/>
</file>

<file path=xl/queryTables/queryTable103.xml><?xml version="1.0" encoding="utf-8"?>
<queryTable xmlns="http://schemas.openxmlformats.org/spreadsheetml/2006/main" name="ExternalData19" headers="0" preserveFormatting="0" adjustColumnWidth="0" connectionId="95" autoFormatId="0" applyNumberFormats="0" applyBorderFormats="0" applyFontFormats="0" applyPatternFormats="0" applyAlignmentFormats="0" applyWidthHeightFormats="1"/>
</file>

<file path=xl/queryTables/queryTable104.xml><?xml version="1.0" encoding="utf-8"?>
<queryTable xmlns="http://schemas.openxmlformats.org/spreadsheetml/2006/main" name="ExternalData_31" headers="0" connectionId="142" autoFormatId="0" applyNumberFormats="0" applyBorderFormats="0" applyFontFormats="0" applyPatternFormats="0" applyAlignmentFormats="0" applyWidthHeightFormats="1"/>
</file>

<file path=xl/queryTables/queryTable105.xml><?xml version="1.0" encoding="utf-8"?>
<queryTable xmlns="http://schemas.openxmlformats.org/spreadsheetml/2006/main" name="ExternalData_74" connectionId="237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ExternalData41" headers="0" preserveFormatting="0" adjustColumnWidth="0" connectionId="336" autoFormatId="0" applyNumberFormats="0" applyBorderFormats="0" applyFontFormats="0" applyPatternFormats="0" applyAlignmentFormats="0" applyWidthHeightFormats="1"/>
</file>

<file path=xl/queryTables/queryTable107.xml><?xml version="1.0" encoding="utf-8"?>
<queryTable xmlns="http://schemas.openxmlformats.org/spreadsheetml/2006/main" name="ExternalData_87" connectionId="265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ExternalData_58" headers="0" connectionId="200" autoFormatId="0" applyNumberFormats="0" applyBorderFormats="0" applyFontFormats="0" applyPatternFormats="0" applyAlignmentFormats="0" applyWidthHeightFormats="1"/>
</file>

<file path=xl/queryTables/queryTable109.xml><?xml version="1.0" encoding="utf-8"?>
<queryTable xmlns="http://schemas.openxmlformats.org/spreadsheetml/2006/main" name="ExternalData284" headers="0" preserveFormatting="0" adjustColumnWidth="0" connectionId="378" autoFormatId="0" applyNumberFormats="0" applyBorderFormats="0" applyFontFormats="0" applyPatternFormats="0" applyAlignmentFormats="0" applyWidthHeightFormats="1"/>
</file>

<file path=xl/queryTables/queryTable110.xml><?xml version="1.0" encoding="utf-8"?>
<queryTable xmlns="http://schemas.openxmlformats.org/spreadsheetml/2006/main" name="ExternalData2" headers="0" preserveFormatting="0" adjustColumnWidth="0" connectionId="368" autoFormatId="0" applyNumberFormats="0" applyBorderFormats="0" applyFontFormats="0" applyPatternFormats="0" applyAlignmentFormats="0" applyWidthHeightFormats="1"/>
</file>

<file path=xl/queryTables/queryTable111.xml><?xml version="1.0" encoding="utf-8"?>
<queryTable xmlns="http://schemas.openxmlformats.org/spreadsheetml/2006/main" name="ExternalData6" headers="0" preserveFormatting="0" adjustColumnWidth="0" connectionId="62" autoFormatId="0" applyNumberFormats="0" applyBorderFormats="0" applyFontFormats="0" applyPatternFormats="0" applyAlignmentFormats="0" applyWidthHeightFormats="1"/>
</file>

<file path=xl/queryTables/queryTable112.xml><?xml version="1.0" encoding="utf-8"?>
<queryTable xmlns="http://schemas.openxmlformats.org/spreadsheetml/2006/main" name="ExternalData29" headers="0" preserveFormatting="0" adjustColumnWidth="0" connectionId="110" autoFormatId="0" applyNumberFormats="0" applyBorderFormats="0" applyFontFormats="0" applyPatternFormats="0" applyAlignmentFormats="0" applyWidthHeightFormats="1"/>
</file>

<file path=xl/queryTables/queryTable113.xml><?xml version="1.0" encoding="utf-8"?>
<queryTable xmlns="http://schemas.openxmlformats.org/spreadsheetml/2006/main" name="ExternalData275" headers="0" preserveFormatting="0" adjustColumnWidth="0" connectionId="398" autoFormatId="0" applyNumberFormats="0" applyBorderFormats="0" applyFontFormats="0" applyPatternFormats="0" applyAlignmentFormats="0" applyWidthHeightFormats="1"/>
</file>

<file path=xl/queryTables/queryTable114.xml><?xml version="1.0" encoding="utf-8"?>
<queryTable xmlns="http://schemas.openxmlformats.org/spreadsheetml/2006/main" name="ExternalData276" headers="0" preserveFormatting="0" adjustColumnWidth="0" connectionId="396" autoFormatId="0" applyNumberFormats="0" applyBorderFormats="0" applyFontFormats="0" applyPatternFormats="0" applyAlignmentFormats="0" applyWidthHeightFormats="1"/>
</file>

<file path=xl/queryTables/queryTable115.xml><?xml version="1.0" encoding="utf-8"?>
<queryTable xmlns="http://schemas.openxmlformats.org/spreadsheetml/2006/main" name="ExternalData287" headers="0" preserveFormatting="0" adjustColumnWidth="0" connectionId="372" autoFormatId="0" applyNumberFormats="0" applyBorderFormats="0" applyFontFormats="0" applyPatternFormats="0" applyAlignmentFormats="0" applyWidthHeightFormats="1"/>
</file>

<file path=xl/queryTables/queryTable116.xml><?xml version="1.0" encoding="utf-8"?>
<queryTable xmlns="http://schemas.openxmlformats.org/spreadsheetml/2006/main" name="ExternalData_1" headers="0" connectionId="112" autoFormatId="0" applyNumberFormats="0" applyBorderFormats="0" applyFontFormats="0" applyPatternFormats="0" applyAlignmentFormats="0" applyWidthHeightFormats="1"/>
</file>

<file path=xl/queryTables/queryTable117.xml><?xml version="1.0" encoding="utf-8"?>
<queryTable xmlns="http://schemas.openxmlformats.org/spreadsheetml/2006/main" name="ExternalData229" headers="0" preserveFormatting="0" adjustColumnWidth="0" connectionId="54" autoFormatId="0" applyNumberFormats="0" applyBorderFormats="0" applyFontFormats="0" applyPatternFormats="0" applyAlignmentFormats="0" applyWidthHeightFormats="1"/>
</file>

<file path=xl/queryTables/queryTable118.xml><?xml version="1.0" encoding="utf-8"?>
<queryTable xmlns="http://schemas.openxmlformats.org/spreadsheetml/2006/main" name="ExternalData259" headers="0" preserveFormatting="0" adjustColumnWidth="0" connectionId="434" autoFormatId="0" applyNumberFormats="0" applyBorderFormats="0" applyFontFormats="0" applyPatternFormats="0" applyAlignmentFormats="0" applyWidthHeightFormats="1"/>
</file>

<file path=xl/queryTables/queryTable119.xml><?xml version="1.0" encoding="utf-8"?>
<queryTable xmlns="http://schemas.openxmlformats.org/spreadsheetml/2006/main" name="ExternalData262" headers="0" preserveFormatting="0" adjustColumnWidth="0" connectionId="426" autoFormatId="0" applyNumberFormats="0" applyBorderFormats="0" applyFontFormats="0" applyPatternFormats="0" applyAlignmentFormats="0" applyWidthHeightFormats="1"/>
</file>

<file path=xl/queryTables/queryTable120.xml><?xml version="1.0" encoding="utf-8"?>
<queryTable xmlns="http://schemas.openxmlformats.org/spreadsheetml/2006/main" name="ExternalData66" headers="0" preserveFormatting="0" adjustColumnWidth="0" connectionId="273" autoFormatId="0" applyNumberFormats="0" applyBorderFormats="0" applyFontFormats="0" applyPatternFormats="0" applyAlignmentFormats="0" applyWidthHeightFormats="1"/>
</file>

<file path=xl/queryTables/queryTable121.xml><?xml version="1.0" encoding="utf-8"?>
<queryTable xmlns="http://schemas.openxmlformats.org/spreadsheetml/2006/main" name="ExternalData70" headers="0" preserveFormatting="0" adjustColumnWidth="0" connectionId="202" autoFormatId="0" applyNumberFormats="0" applyBorderFormats="0" applyFontFormats="0" applyPatternFormats="0" applyAlignmentFormats="0" applyWidthHeightFormats="1"/>
</file>

<file path=xl/queryTables/queryTable122.xml><?xml version="1.0" encoding="utf-8"?>
<queryTable xmlns="http://schemas.openxmlformats.org/spreadsheetml/2006/main" name="ExternalData51" headers="0" preserveFormatting="0" adjustColumnWidth="0" connectionId="314" autoFormatId="0" applyNumberFormats="0" applyBorderFormats="0" applyFontFormats="0" applyPatternFormats="0" applyAlignmentFormats="0" applyWidthHeightFormats="1"/>
</file>

<file path=xl/queryTables/queryTable123.xml><?xml version="1.0" encoding="utf-8"?>
<queryTable xmlns="http://schemas.openxmlformats.org/spreadsheetml/2006/main" name="ExternalData_32" headers="0" connectionId="144" autoFormatId="0" applyNumberFormats="0" applyBorderFormats="0" applyFontFormats="0" applyPatternFormats="0" applyAlignmentFormats="0" applyWidthHeightFormats="1"/>
</file>

<file path=xl/queryTables/queryTable124.xml><?xml version="1.0" encoding="utf-8"?>
<queryTable xmlns="http://schemas.openxmlformats.org/spreadsheetml/2006/main" name="ExternalData_98" connectionId="278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ExternalData_42" headers="0" connectionId="166" autoFormatId="0" applyNumberFormats="0" applyBorderFormats="0" applyFontFormats="0" applyPatternFormats="0" applyAlignmentFormats="0" applyWidthHeightFormats="1"/>
</file>

<file path=xl/queryTables/queryTable126.xml><?xml version="1.0" encoding="utf-8"?>
<queryTable xmlns="http://schemas.openxmlformats.org/spreadsheetml/2006/main" name="ExternalData_53" headers="0" connectionId="190" autoFormatId="0" applyNumberFormats="0" applyBorderFormats="0" applyFontFormats="0" applyPatternFormats="0" applyAlignmentFormats="0" applyWidthHeightFormats="1"/>
</file>

<file path=xl/queryTables/queryTable127.xml><?xml version="1.0" encoding="utf-8"?>
<queryTable xmlns="http://schemas.openxmlformats.org/spreadsheetml/2006/main" name="ExternalData235" headers="0" preserveFormatting="0" adjustColumnWidth="0" connectionId="40" autoFormatId="0" applyNumberFormats="0" applyBorderFormats="0" applyFontFormats="0" applyPatternFormats="0" applyAlignmentFormats="0" applyWidthHeightFormats="1"/>
</file>

<file path=xl/queryTables/queryTable128.xml><?xml version="1.0" encoding="utf-8"?>
<queryTable xmlns="http://schemas.openxmlformats.org/spreadsheetml/2006/main" name="ExternalData56" headers="0" preserveFormatting="0" adjustColumnWidth="0" connectionId="304" autoFormatId="0" applyNumberFormats="0" applyBorderFormats="0" applyFontFormats="0" applyPatternFormats="0" applyAlignmentFormats="0" applyWidthHeightFormats="1"/>
</file>

<file path=xl/queryTables/queryTable129.xml><?xml version="1.0" encoding="utf-8"?>
<queryTable xmlns="http://schemas.openxmlformats.org/spreadsheetml/2006/main" name="ExternalData_103" connectionId="283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34" headers="0" connectionId="148" autoFormatId="0" applyNumberFormats="0" applyBorderFormats="0" applyFontFormats="0" applyPatternFormats="0" applyAlignmentFormats="0" applyWidthHeightFormats="1"/>
</file>

<file path=xl/queryTables/queryTable131.xml><?xml version="1.0" encoding="utf-8"?>
<queryTable xmlns="http://schemas.openxmlformats.org/spreadsheetml/2006/main" name="ExternalData_86" connectionId="263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ExternalData_68" connectionId="222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ExternalData_84" connectionId="260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ExternalData32" headers="0" preserveFormatting="0" adjustColumnWidth="0" connectionId="356" autoFormatId="0" applyNumberFormats="0" applyBorderFormats="0" applyFontFormats="0" applyPatternFormats="0" applyAlignmentFormats="0" applyWidthHeightFormats="1"/>
</file>

<file path=xl/queryTables/queryTable135.xml><?xml version="1.0" encoding="utf-8"?>
<queryTable xmlns="http://schemas.openxmlformats.org/spreadsheetml/2006/main" name="ExternalData9" headers="0" preserveFormatting="0" adjustColumnWidth="0" connectionId="68" autoFormatId="0" applyNumberFormats="0" applyBorderFormats="0" applyFontFormats="0" applyPatternFormats="0" applyAlignmentFormats="0" applyWidthHeightFormats="1"/>
</file>

<file path=xl/queryTables/queryTable136.xml><?xml version="1.0" encoding="utf-8"?>
<queryTable xmlns="http://schemas.openxmlformats.org/spreadsheetml/2006/main" name="ExternalData36" headers="0" preserveFormatting="0" adjustColumnWidth="0" connectionId="348" autoFormatId="0" applyNumberFormats="0" applyBorderFormats="0" applyFontFormats="0" applyPatternFormats="0" applyAlignmentFormats="0" applyWidthHeightFormats="1"/>
</file>

<file path=xl/queryTables/queryTable137.xml><?xml version="1.0" encoding="utf-8"?>
<queryTable xmlns="http://schemas.openxmlformats.org/spreadsheetml/2006/main" name="ExternalData_45" headers="0" connectionId="172" autoFormatId="0" applyNumberFormats="0" applyBorderFormats="0" applyFontFormats="0" applyPatternFormats="0" applyAlignmentFormats="0" applyWidthHeightFormats="1"/>
</file>

<file path=xl/queryTables/queryTable138.xml><?xml version="1.0" encoding="utf-8"?>
<queryTable xmlns="http://schemas.openxmlformats.org/spreadsheetml/2006/main" name="ExternalData21" headers="0" preserveFormatting="0" adjustColumnWidth="0" connectionId="100" autoFormatId="0" applyNumberFormats="0" applyBorderFormats="0" applyFontFormats="0" applyPatternFormats="0" applyAlignmentFormats="0" applyWidthHeightFormats="1"/>
</file>

<file path=xl/queryTables/queryTable139.xml><?xml version="1.0" encoding="utf-8"?>
<queryTable xmlns="http://schemas.openxmlformats.org/spreadsheetml/2006/main" name="ExternalData236" headers="0" preserveFormatting="0" adjustColumnWidth="0" connectionId="38" autoFormatId="0" applyNumberFormats="0" applyBorderFormats="0" applyFontFormats="0" applyPatternFormats="0" applyAlignmentFormats="0" applyWidthHeightFormats="1"/>
</file>

<file path=xl/queryTables/queryTable140.xml><?xml version="1.0" encoding="utf-8"?>
<queryTable xmlns="http://schemas.openxmlformats.org/spreadsheetml/2006/main" name="ExternalData_80" connectionId="250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ExternalData55" headers="0" preserveFormatting="0" adjustColumnWidth="0" connectionId="306" autoFormatId="0" applyNumberFormats="0" applyBorderFormats="0" applyFontFormats="0" applyPatternFormats="0" applyAlignmentFormats="0" applyWidthHeightFormats="1"/>
</file>

<file path=xl/queryTables/queryTable142.xml><?xml version="1.0" encoding="utf-8"?>
<queryTable xmlns="http://schemas.openxmlformats.org/spreadsheetml/2006/main" name="ExternalData_88" connectionId="266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ExternalData_22" headers="0" connectionId="362" autoFormatId="0" applyNumberFormats="0" applyBorderFormats="0" applyFontFormats="0" applyPatternFormats="0" applyAlignmentFormats="0" applyWidthHeightFormats="1"/>
</file>

<file path=xl/queryTables/queryTable144.xml><?xml version="1.0" encoding="utf-8"?>
<queryTable xmlns="http://schemas.openxmlformats.org/spreadsheetml/2006/main" name="ExternalData_51" headers="0" connectionId="186" autoFormatId="0" applyNumberFormats="0" applyBorderFormats="0" applyFontFormats="0" applyPatternFormats="0" applyAlignmentFormats="0" applyWidthHeightFormats="1"/>
</file>

<file path=xl/queryTables/queryTable145.xml><?xml version="1.0" encoding="utf-8"?>
<queryTable xmlns="http://schemas.openxmlformats.org/spreadsheetml/2006/main" name="ExternalData285" headers="0" preserveFormatting="0" adjustColumnWidth="0" connectionId="376" autoFormatId="0" applyNumberFormats="0" applyBorderFormats="0" applyFontFormats="0" applyPatternFormats="0" applyAlignmentFormats="0" applyWidthHeightFormats="1"/>
</file>

<file path=xl/queryTables/queryTable146.xml><?xml version="1.0" encoding="utf-8"?>
<queryTable xmlns="http://schemas.openxmlformats.org/spreadsheetml/2006/main" name="ExternalData_82" connectionId="254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ExternalData_50" headers="0" connectionId="183" autoFormatId="0" applyNumberFormats="0" applyBorderFormats="0" applyFontFormats="0" applyPatternFormats="0" applyAlignmentFormats="0" applyWidthHeightFormats="1"/>
</file>

<file path=xl/queryTables/queryTable148.xml><?xml version="1.0" encoding="utf-8"?>
<queryTable xmlns="http://schemas.openxmlformats.org/spreadsheetml/2006/main" name="ExternalData_27" headers="0" connectionId="2" autoFormatId="0" applyNumberFormats="0" applyBorderFormats="0" applyFontFormats="0" applyPatternFormats="0" applyAlignmentFormats="0" applyWidthHeightFormats="1"/>
</file>

<file path=xl/queryTables/queryTable149.xml><?xml version="1.0" encoding="utf-8"?>
<queryTable xmlns="http://schemas.openxmlformats.org/spreadsheetml/2006/main" name="ExternalData_39" headers="0" connectionId="159" autoFormatId="0" applyNumberFormats="0" applyBorderFormats="0" applyFontFormats="0" applyPatternFormats="0" applyAlignmentFormats="0" applyWidthHeightFormats="1"/>
</file>

<file path=xl/queryTables/queryTable150.xml><?xml version="1.0" encoding="utf-8"?>
<queryTable xmlns="http://schemas.openxmlformats.org/spreadsheetml/2006/main" name="ExternalData18" headers="0" preserveFormatting="0" adjustColumnWidth="0" connectionId="93" autoFormatId="0" applyNumberFormats="0" applyBorderFormats="0" applyFontFormats="0" applyPatternFormats="0" applyAlignmentFormats="0" applyWidthHeightFormats="1"/>
</file>

<file path=xl/queryTables/queryTable151.xml><?xml version="1.0" encoding="utf-8"?>
<queryTable xmlns="http://schemas.openxmlformats.org/spreadsheetml/2006/main" name="ExternalData232" headers="0" preserveFormatting="0" adjustColumnWidth="0" connectionId="46" autoFormatId="0" applyNumberFormats="0" applyBorderFormats="0" applyFontFormats="0" applyPatternFormats="0" applyAlignmentFormats="0" applyWidthHeightFormats="1"/>
</file>

<file path=xl/queryTables/queryTable152.xml><?xml version="1.0" encoding="utf-8"?>
<queryTable xmlns="http://schemas.openxmlformats.org/spreadsheetml/2006/main" name="ExternalData237" headers="0" preserveFormatting="0" adjustColumnWidth="0" connectionId="36" autoFormatId="0" applyNumberFormats="0" applyBorderFormats="0" applyFontFormats="0" applyPatternFormats="0" applyAlignmentFormats="0" applyWidthHeightFormats="1"/>
</file>

<file path=xl/queryTables/queryTable153.xml><?xml version="1.0" encoding="utf-8"?>
<queryTable xmlns="http://schemas.openxmlformats.org/spreadsheetml/2006/main" name="ExternalData20" headers="0" preserveFormatting="0" adjustColumnWidth="0" connectionId="98" autoFormatId="0" applyNumberFormats="0" applyBorderFormats="0" applyFontFormats="0" applyPatternFormats="0" applyAlignmentFormats="0" applyWidthHeightFormats="1"/>
</file>

<file path=xl/queryTables/queryTable154.xml><?xml version="1.0" encoding="utf-8"?>
<queryTable xmlns="http://schemas.openxmlformats.org/spreadsheetml/2006/main" name="ExternalData46" headers="0" preserveFormatting="0" adjustColumnWidth="0" connectionId="326" autoFormatId="0" applyNumberFormats="0" applyBorderFormats="0" applyFontFormats="0" applyPatternFormats="0" applyAlignmentFormats="0" applyWidthHeightFormats="1"/>
</file>

<file path=xl/queryTables/queryTable155.xml><?xml version="1.0" encoding="utf-8"?>
<queryTable xmlns="http://schemas.openxmlformats.org/spreadsheetml/2006/main" name="ExternalData_78" connectionId="245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ExternalData_3" headers="0" connectionId="117" autoFormatId="0" applyNumberFormats="0" applyBorderFormats="0" applyFontFormats="0" applyPatternFormats="0" applyAlignmentFormats="0" applyWidthHeightFormats="1"/>
</file>

<file path=xl/queryTables/queryTable157.xml><?xml version="1.0" encoding="utf-8"?>
<queryTable xmlns="http://schemas.openxmlformats.org/spreadsheetml/2006/main" name="ExternalData_66" headers="0" connectionId="218" autoFormatId="0" applyNumberFormats="0" applyBorderFormats="0" applyFontFormats="0" applyPatternFormats="0" applyAlignmentFormats="0" applyWidthHeightFormats="1"/>
</file>

<file path=xl/queryTables/queryTable158.xml><?xml version="1.0" encoding="utf-8"?>
<queryTable xmlns="http://schemas.openxmlformats.org/spreadsheetml/2006/main" name="ExternalData4" headers="0" preserveFormatting="0" adjustColumnWidth="0" connectionId="58" autoFormatId="0" applyNumberFormats="0" applyBorderFormats="0" applyFontFormats="0" applyPatternFormats="0" applyAlignmentFormats="0" applyWidthHeightFormats="1"/>
</file>

<file path=xl/queryTables/queryTable159.xml><?xml version="1.0" encoding="utf-8"?>
<queryTable xmlns="http://schemas.openxmlformats.org/spreadsheetml/2006/main" name="ExternalData_59" headers="0" connectionId="203" autoFormatId="0" applyNumberFormats="0" applyBorderFormats="0" applyFontFormats="0" applyPatternFormats="0" applyAlignmentFormats="0" applyWidthHeightFormats="1"/>
</file>

<file path=xl/queryTables/queryTable160.xml><?xml version="1.0" encoding="utf-8"?>
<queryTable xmlns="http://schemas.openxmlformats.org/spreadsheetml/2006/main" name="ExternalData11" headers="0" preserveFormatting="0" adjustColumnWidth="0" connectionId="73" autoFormatId="0" applyNumberFormats="0" applyBorderFormats="0" applyFontFormats="0" applyPatternFormats="0" applyAlignmentFormats="0" applyWidthHeightFormats="1"/>
</file>

<file path=xl/queryTables/queryTable161.xml><?xml version="1.0" encoding="utf-8"?>
<queryTable xmlns="http://schemas.openxmlformats.org/spreadsheetml/2006/main" name="ExternalData264" headers="0" preserveFormatting="0" adjustColumnWidth="0" connectionId="422" autoFormatId="0" applyNumberFormats="0" applyBorderFormats="0" applyFontFormats="0" applyPatternFormats="0" applyAlignmentFormats="0" applyWidthHeightFormats="1"/>
</file>

<file path=xl/queryTables/queryTable162.xml><?xml version="1.0" encoding="utf-8"?>
<queryTable xmlns="http://schemas.openxmlformats.org/spreadsheetml/2006/main" name="ExternalData26" headers="0" preserveFormatting="0" adjustColumnWidth="0" connectionId="365" autoFormatId="0" applyNumberFormats="0" applyBorderFormats="0" applyFontFormats="0" applyPatternFormats="0" applyAlignmentFormats="0" applyWidthHeightFormats="1"/>
</file>

<file path=xl/queryTables/queryTable163.xml><?xml version="1.0" encoding="utf-8"?>
<queryTable xmlns="http://schemas.openxmlformats.org/spreadsheetml/2006/main" name="ExternalData_76" connectionId="241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ExternalData57" headers="0" preserveFormatting="0" adjustColumnWidth="0" connectionId="302" autoFormatId="0" applyNumberFormats="0" applyBorderFormats="0" applyFontFormats="0" applyPatternFormats="0" applyAlignmentFormats="0" applyWidthHeightFormats="1"/>
</file>

<file path=xl/queryTables/queryTable165.xml><?xml version="1.0" encoding="utf-8"?>
<queryTable xmlns="http://schemas.openxmlformats.org/spreadsheetml/2006/main" name="ExternalData_61" headers="0" connectionId="208" autoFormatId="0" applyNumberFormats="0" applyBorderFormats="0" applyFontFormats="0" applyPatternFormats="0" applyAlignmentFormats="0" applyWidthHeightFormats="1"/>
</file>

<file path=xl/queryTables/queryTable166.xml><?xml version="1.0" encoding="utf-8"?>
<queryTable xmlns="http://schemas.openxmlformats.org/spreadsheetml/2006/main" name="ExternalData43" headers="0" preserveFormatting="0" adjustColumnWidth="0" connectionId="332" autoFormatId="0" applyNumberFormats="0" applyBorderFormats="0" applyFontFormats="0" applyPatternFormats="0" applyAlignmentFormats="0" applyWidthHeightFormats="1"/>
</file>

<file path=xl/queryTables/queryTable167.xml><?xml version="1.0" encoding="utf-8"?>
<queryTable xmlns="http://schemas.openxmlformats.org/spreadsheetml/2006/main" name="ExternalData_25" headers="0" connectionId="296" autoFormatId="0" applyNumberFormats="0" applyBorderFormats="0" applyFontFormats="0" applyPatternFormats="0" applyAlignmentFormats="0" applyWidthHeightFormats="1"/>
</file>

<file path=xl/queryTables/queryTable168.xml><?xml version="1.0" encoding="utf-8"?>
<queryTable xmlns="http://schemas.openxmlformats.org/spreadsheetml/2006/main" name="ExternalData_101" connectionId="281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ExternalData50" headers="0" preserveFormatting="0" adjustColumnWidth="0" connectionId="316" autoFormatId="0" applyNumberFormats="0" applyBorderFormats="0" applyFontFormats="0" applyPatternFormats="0" applyAlignmentFormats="0" applyWidthHeightFormats="1"/>
</file>

<file path=xl/queryTables/queryTable170.xml><?xml version="1.0" encoding="utf-8"?>
<queryTable xmlns="http://schemas.openxmlformats.org/spreadsheetml/2006/main" name="ExternalData22" headers="0" preserveFormatting="0" adjustColumnWidth="0" connectionId="102" autoFormatId="0" applyNumberFormats="0" applyBorderFormats="0" applyFontFormats="0" applyPatternFormats="0" applyAlignmentFormats="0" applyWidthHeightFormats="1"/>
</file>

<file path=xl/queryTables/queryTable171.xml><?xml version="1.0" encoding="utf-8"?>
<queryTable xmlns="http://schemas.openxmlformats.org/spreadsheetml/2006/main" name="ExternalData_15" headers="0" connectionId="70" autoFormatId="0" applyNumberFormats="0" applyBorderFormats="0" applyFontFormats="0" applyPatternFormats="0" applyAlignmentFormats="0" applyWidthHeightFormats="1"/>
</file>

<file path=xl/queryTables/queryTable172.xml><?xml version="1.0" encoding="utf-8"?>
<queryTable xmlns="http://schemas.openxmlformats.org/spreadsheetml/2006/main" name="ExternalData244" headers="0" preserveFormatting="0" adjustColumnWidth="0" connectionId="19" autoFormatId="0" applyNumberFormats="0" applyBorderFormats="0" applyFontFormats="0" applyPatternFormats="0" applyAlignmentFormats="0" applyWidthHeightFormats="1"/>
</file>

<file path=xl/queryTables/queryTable173.xml><?xml version="1.0" encoding="utf-8"?>
<queryTable xmlns="http://schemas.openxmlformats.org/spreadsheetml/2006/main" name="ExternalData_92" connectionId="270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ExternalData65" headers="0" preserveFormatting="0" adjustColumnWidth="0" connectionId="284" autoFormatId="0" applyNumberFormats="0" applyBorderFormats="0" applyFontFormats="0" applyPatternFormats="0" applyAlignmentFormats="0" applyWidthHeightFormats="1"/>
</file>

<file path=xl/queryTables/queryTable175.xml><?xml version="1.0" encoding="utf-8"?>
<queryTable xmlns="http://schemas.openxmlformats.org/spreadsheetml/2006/main" name="ExternalData_44" headers="0" connectionId="170" autoFormatId="0" applyNumberFormats="0" applyBorderFormats="0" applyFontFormats="0" applyPatternFormats="0" applyAlignmentFormats="0" applyWidthHeightFormats="1"/>
</file>

<file path=xl/queryTables/queryTable176.xml><?xml version="1.0" encoding="utf-8"?>
<queryTable xmlns="http://schemas.openxmlformats.org/spreadsheetml/2006/main" name="ExternalData_65" headers="0" connectionId="216" autoFormatId="0" applyNumberFormats="0" applyBorderFormats="0" applyFontFormats="0" applyPatternFormats="0" applyAlignmentFormats="0" applyWidthHeightFormats="1"/>
</file>

<file path=xl/queryTables/queryTable177.xml><?xml version="1.0" encoding="utf-8"?>
<queryTable xmlns="http://schemas.openxmlformats.org/spreadsheetml/2006/main" name="ExternalData_79" connectionId="248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ExternalData_47" headers="0" connectionId="176" autoFormatId="0" applyNumberFormats="0" applyBorderFormats="0" applyFontFormats="0" applyPatternFormats="0" applyAlignmentFormats="0" applyWidthHeightFormats="1"/>
</file>

<file path=xl/queryTables/queryTable179.xml><?xml version="1.0" encoding="utf-8"?>
<queryTable xmlns="http://schemas.openxmlformats.org/spreadsheetml/2006/main" name="ExternalData230" headers="0" preserveFormatting="0" adjustColumnWidth="0" connectionId="51" autoFormatId="0" applyNumberFormats="0" applyBorderFormats="0" applyFontFormats="0" applyPatternFormats="0" applyAlignmentFormats="0" applyWidthHeightFormats="1"/>
</file>

<file path=xl/queryTables/queryTable180.xml><?xml version="1.0" encoding="utf-8"?>
<queryTable xmlns="http://schemas.openxmlformats.org/spreadsheetml/2006/main" name="ExternalData16" headers="0" preserveFormatting="0" adjustColumnWidth="0" connectionId="88" autoFormatId="0" applyNumberFormats="0" applyBorderFormats="0" applyFontFormats="0" applyPatternFormats="0" applyAlignmentFormats="0" applyWidthHeightFormats="1"/>
</file>

<file path=xl/queryTables/queryTable181.xml><?xml version="1.0" encoding="utf-8"?>
<queryTable xmlns="http://schemas.openxmlformats.org/spreadsheetml/2006/main" name="ExternalData_40" headers="0" connectionId="161" autoFormatId="0" applyNumberFormats="0" applyBorderFormats="0" applyFontFormats="0" applyPatternFormats="0" applyAlignmentFormats="0" applyWidthHeightFormats="1"/>
</file>

<file path=xl/queryTables/queryTable182.xml><?xml version="1.0" encoding="utf-8"?>
<queryTable xmlns="http://schemas.openxmlformats.org/spreadsheetml/2006/main" name="ExternalData_10" headers="0" connectionId="132" autoFormatId="0" applyNumberFormats="0" applyBorderFormats="0" applyFontFormats="0" applyPatternFormats="0" applyAlignmentFormats="0" applyWidthHeightFormats="1"/>
</file>

<file path=xl/queryTables/queryTable183.xml><?xml version="1.0" encoding="utf-8"?>
<queryTable xmlns="http://schemas.openxmlformats.org/spreadsheetml/2006/main" name="ExternalData279" headers="0" preserveFormatting="0" adjustColumnWidth="0" connectionId="390" autoFormatId="0" applyNumberFormats="0" applyBorderFormats="0" applyFontFormats="0" applyPatternFormats="0" applyAlignmentFormats="0" applyWidthHeightFormats="1"/>
</file>

<file path=xl/queryTables/queryTable184.xml><?xml version="1.0" encoding="utf-8"?>
<queryTable xmlns="http://schemas.openxmlformats.org/spreadsheetml/2006/main" name="ExternalData256" headers="0" preserveFormatting="0" adjustColumnWidth="0" connectionId="440" autoFormatId="0" applyNumberFormats="0" applyBorderFormats="0" applyFontFormats="0" applyPatternFormats="0" applyAlignmentFormats="0" applyWidthHeightFormats="1"/>
</file>

<file path=xl/queryTables/queryTable185.xml><?xml version="1.0" encoding="utf-8"?>
<queryTable xmlns="http://schemas.openxmlformats.org/spreadsheetml/2006/main" name="ExternalData_75" connectionId="239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ExternalData58" headers="0" preserveFormatting="0" adjustColumnWidth="0" connectionId="299" autoFormatId="0" applyNumberFormats="0" applyBorderFormats="0" applyFontFormats="0" applyPatternFormats="0" applyAlignmentFormats="0" applyWidthHeightFormats="1"/>
</file>

<file path=xl/queryTables/queryTable187.xml><?xml version="1.0" encoding="utf-8"?>
<queryTable xmlns="http://schemas.openxmlformats.org/spreadsheetml/2006/main" name="ExternalData38" headers="0" preserveFormatting="0" adjustColumnWidth="0" connectionId="343" autoFormatId="0" applyNumberFormats="0" applyBorderFormats="0" applyFontFormats="0" applyPatternFormats="0" applyAlignmentFormats="0" applyWidthHeightFormats="1"/>
</file>

<file path=xl/queryTables/queryTable188.xml><?xml version="1.0" encoding="utf-8"?>
<queryTable xmlns="http://schemas.openxmlformats.org/spreadsheetml/2006/main" name="ExternalData_4" headers="0" connectionId="120" autoFormatId="0" applyNumberFormats="0" applyBorderFormats="0" applyFontFormats="0" applyPatternFormats="0" applyAlignmentFormats="0" applyWidthHeightFormats="1"/>
</file>

<file path=xl/queryTables/queryTable189.xml><?xml version="1.0" encoding="utf-8"?>
<queryTable xmlns="http://schemas.openxmlformats.org/spreadsheetml/2006/main" name="ExternalData27" headers="0" preserveFormatting="0" adjustColumnWidth="0" connectionId="363" autoFormatId="0" applyNumberFormats="0" applyBorderFormats="0" applyFontFormats="0" applyPatternFormats="0" applyAlignmentFormats="0" applyWidthHeightFormats="1"/>
</file>

<file path=xl/queryTables/queryTable190.xml><?xml version="1.0" encoding="utf-8"?>
<queryTable xmlns="http://schemas.openxmlformats.org/spreadsheetml/2006/main" name="ExternalData_41" headers="0" connectionId="164" autoFormatId="0" applyNumberFormats="0" applyBorderFormats="0" applyFontFormats="0" applyPatternFormats="0" applyAlignmentFormats="0" applyWidthHeightFormats="1"/>
</file>

<file path=xl/queryTables/queryTable191.xml><?xml version="1.0" encoding="utf-8"?>
<queryTable xmlns="http://schemas.openxmlformats.org/spreadsheetml/2006/main" name="ExternalData45" headers="0" preserveFormatting="0" adjustColumnWidth="0" connectionId="328" autoFormatId="0" applyNumberFormats="0" applyBorderFormats="0" applyFontFormats="0" applyPatternFormats="0" applyAlignmentFormats="0" applyWidthHeightFormats="1"/>
</file>

<file path=xl/queryTables/queryTable192.xml><?xml version="1.0" encoding="utf-8"?>
<queryTable xmlns="http://schemas.openxmlformats.org/spreadsheetml/2006/main" name="ExternalData60" headers="0" preserveFormatting="0" adjustColumnWidth="0" connectionId="294" autoFormatId="0" applyNumberFormats="0" applyBorderFormats="0" applyFontFormats="0" applyPatternFormats="0" applyAlignmentFormats="0" applyWidthHeightFormats="1"/>
</file>

<file path=xl/queryTables/queryTable193.xml><?xml version="1.0" encoding="utf-8"?>
<queryTable xmlns="http://schemas.openxmlformats.org/spreadsheetml/2006/main" name="ExternalData254" headers="0" preserveFormatting="0" adjustColumnWidth="0" connectionId="444" autoFormatId="0" applyNumberFormats="0" applyBorderFormats="0" applyFontFormats="0" applyPatternFormats="0" applyAlignmentFormats="0" applyWidthHeightFormats="1"/>
</file>

<file path=xl/queryTables/queryTable194.xml><?xml version="1.0" encoding="utf-8"?>
<queryTable xmlns="http://schemas.openxmlformats.org/spreadsheetml/2006/main" name="ExternalData35" headers="0" preserveFormatting="0" adjustColumnWidth="0" connectionId="350" autoFormatId="0" applyNumberFormats="0" applyBorderFormats="0" applyFontFormats="0" applyPatternFormats="0" applyAlignmentFormats="0" applyWidthHeightFormats="1"/>
</file>

<file path=xl/queryTables/queryTable195.xml><?xml version="1.0" encoding="utf-8"?>
<queryTable xmlns="http://schemas.openxmlformats.org/spreadsheetml/2006/main" name="ExternalData28" headers="0" preserveFormatting="0" adjustColumnWidth="0" connectionId="360" autoFormatId="0" applyNumberFormats="0" applyBorderFormats="0" applyFontFormats="0" applyPatternFormats="0" applyAlignmentFormats="0" applyWidthHeightFormats="1"/>
</file>

<file path=xl/queryTables/queryTable196.xml><?xml version="1.0" encoding="utf-8"?>
<queryTable xmlns="http://schemas.openxmlformats.org/spreadsheetml/2006/main" name="ExternalData7" headers="0" preserveFormatting="0" adjustColumnWidth="0" connectionId="64" autoFormatId="0" applyNumberFormats="0" applyBorderFormats="0" applyFontFormats="0" applyPatternFormats="0" applyAlignmentFormats="0" applyWidthHeightFormats="1"/>
</file>

<file path=xl/queryTables/queryTable197.xml><?xml version="1.0" encoding="utf-8"?>
<queryTable xmlns="http://schemas.openxmlformats.org/spreadsheetml/2006/main" name="ExternalData_17" headers="0" connectionId="25" autoFormatId="0" applyNumberFormats="0" applyBorderFormats="0" applyFontFormats="0" applyPatternFormats="0" applyAlignmentFormats="0" applyWidthHeightFormats="1"/>
</file>

<file path=xl/queryTables/queryTable198.xml><?xml version="1.0" encoding="utf-8"?>
<queryTable xmlns="http://schemas.openxmlformats.org/spreadsheetml/2006/main" name="ExternalData_11" headers="0" connectionId="134" autoFormatId="0" applyNumberFormats="0" applyBorderFormats="0" applyFontFormats="0" applyPatternFormats="0" applyAlignmentFormats="0" applyWidthHeightFormats="1"/>
</file>

<file path=xl/queryTables/queryTable199.xml><?xml version="1.0" encoding="utf-8"?>
<queryTable xmlns="http://schemas.openxmlformats.org/spreadsheetml/2006/main" name="ExternalData_70" connectionId="228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ExternalData1" headers="0" preserveFormatting="0" adjustColumnWidth="0" connectionId="370" autoFormatId="0" applyNumberFormats="0" applyBorderFormats="0" applyFontFormats="0" applyPatternFormats="0" applyAlignmentFormats="0" applyWidthHeightFormats="1"/>
</file>

<file path=xl/queryTables/queryTable201.xml><?xml version="1.0" encoding="utf-8"?>
<queryTable xmlns="http://schemas.openxmlformats.org/spreadsheetml/2006/main" name="ExternalData_83" connectionId="259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ExternalData54" headers="0" preserveFormatting="0" adjustColumnWidth="0" connectionId="308" autoFormatId="0" applyNumberFormats="0" applyBorderFormats="0" applyFontFormats="0" applyPatternFormats="0" applyAlignmentFormats="0" applyWidthHeightFormats="1"/>
</file>

<file path=xl/queryTables/queryTable203.xml><?xml version="1.0" encoding="utf-8"?>
<queryTable xmlns="http://schemas.openxmlformats.org/spreadsheetml/2006/main" name="ExternalData258" headers="0" preserveFormatting="0" adjustColumnWidth="0" connectionId="436" autoFormatId="0" applyNumberFormats="0" applyBorderFormats="0" applyFontFormats="0" applyPatternFormats="0" applyAlignmentFormats="0" applyWidthHeightFormats="1"/>
</file>

<file path=xl/queryTables/queryTable204.xml><?xml version="1.0" encoding="utf-8"?>
<queryTable xmlns="http://schemas.openxmlformats.org/spreadsheetml/2006/main" name="ExternalData39" headers="0" preserveFormatting="0" adjustColumnWidth="0" connectionId="341" autoFormatId="0" applyNumberFormats="0" applyBorderFormats="0" applyFontFormats="0" applyPatternFormats="0" applyAlignmentFormats="0" applyWidthHeightFormats="1"/>
</file>

<file path=xl/queryTables/queryTable205.xml><?xml version="1.0" encoding="utf-8"?>
<queryTable xmlns="http://schemas.openxmlformats.org/spreadsheetml/2006/main" name="ExternalData_69" connectionId="226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ExternalData_23" headers="0" connectionId="340" autoFormatId="0" applyNumberFormats="0" applyBorderFormats="0" applyFontFormats="0" applyPatternFormats="0" applyAlignmentFormats="0" applyWidthHeightFormats="1"/>
</file>

<file path=xl/queryTables/queryTable207.xml><?xml version="1.0" encoding="utf-8"?>
<queryTable xmlns="http://schemas.openxmlformats.org/spreadsheetml/2006/main" name="ExternalData242" headers="0" preserveFormatting="0" adjustColumnWidth="0" connectionId="23" autoFormatId="0" applyNumberFormats="0" applyBorderFormats="0" applyFontFormats="0" applyPatternFormats="0" applyAlignmentFormats="0" applyWidthHeightFormats="1"/>
</file>

<file path=xl/queryTables/queryTable208.xml><?xml version="1.0" encoding="utf-8"?>
<queryTable xmlns="http://schemas.openxmlformats.org/spreadsheetml/2006/main" name="ExternalData61" headers="0" preserveFormatting="0" adjustColumnWidth="0" connectionId="292" autoFormatId="0" applyNumberFormats="0" applyBorderFormats="0" applyFontFormats="0" applyPatternFormats="0" applyAlignmentFormats="0" applyWidthHeightFormats="1"/>
</file>

<file path=xl/queryTables/queryTable209.xml><?xml version="1.0" encoding="utf-8"?>
<queryTable xmlns="http://schemas.openxmlformats.org/spreadsheetml/2006/main" name="ExternalData_18" headers="0" connectionId="3" autoFormatId="0" applyNumberFormats="0" applyBorderFormats="0" applyFontFormats="0" applyPatternFormats="0" applyAlignmentFormats="0" applyWidthHeightFormats="1"/>
</file>

<file path=xl/queryTables/queryTable210.xml><?xml version="1.0" encoding="utf-8"?>
<queryTable xmlns="http://schemas.openxmlformats.org/spreadsheetml/2006/main" name="ExternalData64" headers="0" preserveFormatting="0" adjustColumnWidth="0" connectionId="286" autoFormatId="0" applyNumberFormats="0" applyBorderFormats="0" applyFontFormats="0" applyPatternFormats="0" applyAlignmentFormats="0" applyWidthHeightFormats="1"/>
</file>

<file path=xl/queryTables/queryTable211.xml><?xml version="1.0" encoding="utf-8"?>
<queryTable xmlns="http://schemas.openxmlformats.org/spreadsheetml/2006/main" name="ExternalData5" headers="0" preserveFormatting="0" adjustColumnWidth="0" connectionId="60" autoFormatId="0" applyNumberFormats="0" applyBorderFormats="0" applyFontFormats="0" applyPatternFormats="0" applyAlignmentFormats="0" applyWidthHeightFormats="1"/>
</file>

<file path=xl/queryTables/queryTable212.xml><?xml version="1.0" encoding="utf-8"?>
<queryTable xmlns="http://schemas.openxmlformats.org/spreadsheetml/2006/main" name="ExternalData_89" connectionId="267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ExternalData8" headers="0" preserveFormatting="0" adjustColumnWidth="0" connectionId="66" autoFormatId="0" applyNumberFormats="0" applyBorderFormats="0" applyFontFormats="0" applyPatternFormats="0" applyAlignmentFormats="0" applyWidthHeightFormats="1"/>
</file>

<file path=xl/queryTables/queryTable214.xml><?xml version="1.0" encoding="utf-8"?>
<queryTable xmlns="http://schemas.openxmlformats.org/spreadsheetml/2006/main" name="ExternalData_94" connectionId="272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ExternalData_37" headers="0" connectionId="154" autoFormatId="0" applyNumberFormats="0" applyBorderFormats="0" applyFontFormats="0" applyPatternFormats="0" applyAlignmentFormats="0" applyWidthHeightFormats="1"/>
</file>

<file path=xl/queryTables/queryTable216.xml><?xml version="1.0" encoding="utf-8"?>
<queryTable xmlns="http://schemas.openxmlformats.org/spreadsheetml/2006/main" name="ExternalData33" headers="0" preserveFormatting="0" adjustColumnWidth="0" connectionId="354" autoFormatId="0" applyNumberFormats="0" applyBorderFormats="0" applyFontFormats="0" applyPatternFormats="0" applyAlignmentFormats="0" applyWidthHeightFormats="1"/>
</file>

<file path=xl/queryTables/queryTable217.xml><?xml version="1.0" encoding="utf-8"?>
<queryTable xmlns="http://schemas.openxmlformats.org/spreadsheetml/2006/main" name="ExternalData47" headers="0" preserveFormatting="0" adjustColumnWidth="0" connectionId="324" autoFormatId="0" applyNumberFormats="0" applyBorderFormats="0" applyFontFormats="0" applyPatternFormats="0" applyAlignmentFormats="0" applyWidthHeightFormats="1"/>
</file>

<file path=xl/queryTables/queryTable218.xml><?xml version="1.0" encoding="utf-8"?>
<queryTable xmlns="http://schemas.openxmlformats.org/spreadsheetml/2006/main" name="ExternalData231" headers="0" preserveFormatting="0" adjustColumnWidth="0" connectionId="49" autoFormatId="0" applyNumberFormats="0" applyBorderFormats="0" applyFontFormats="0" applyPatternFormats="0" applyAlignmentFormats="0" applyWidthHeightFormats="1"/>
</file>

<file path=xl/queryTables/queryTable219.xml><?xml version="1.0" encoding="utf-8"?>
<queryTable xmlns="http://schemas.openxmlformats.org/spreadsheetml/2006/main" name="ExternalData68" headers="0" preserveFormatting="0" adjustColumnWidth="0" connectionId="247" autoFormatId="0" applyNumberFormats="0" applyBorderFormats="0" applyFontFormats="0" applyPatternFormats="0" applyAlignmentFormats="0" applyWidthHeightFormats="1"/>
</file>

<file path=xl/queryTables/queryTable220.xml><?xml version="1.0" encoding="utf-8"?>
<queryTable xmlns="http://schemas.openxmlformats.org/spreadsheetml/2006/main" name="ExternalData_6" headers="0" connectionId="124" autoFormatId="0" applyNumberFormats="0" applyBorderFormats="0" applyFontFormats="0" applyPatternFormats="0" applyAlignmentFormats="0" applyWidthHeightFormats="1"/>
</file>

<file path=xl/queryTables/queryTable221.xml><?xml version="1.0" encoding="utf-8"?>
<queryTable xmlns="http://schemas.openxmlformats.org/spreadsheetml/2006/main" name="ExternalData246" headers="0" preserveFormatting="0" adjustColumnWidth="0" connectionId="15" autoFormatId="0" applyNumberFormats="0" applyBorderFormats="0" applyFontFormats="0" applyPatternFormats="0" applyAlignmentFormats="0" applyWidthHeightFormats="1"/>
</file>

<file path=xl/queryTables/queryTable222.xml><?xml version="1.0" encoding="utf-8"?>
<queryTable xmlns="http://schemas.openxmlformats.org/spreadsheetml/2006/main" name="ExternalData_97" connectionId="277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ExternalData_95" connectionId="274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ExternalData69" headers="0" preserveFormatting="0" adjustColumnWidth="0" connectionId="225" autoFormatId="0" applyNumberFormats="0" applyBorderFormats="0" applyFontFormats="0" applyPatternFormats="0" applyAlignmentFormats="0" applyWidthHeightFormats="1"/>
</file>

<file path=xl/queryTables/queryTable225.xml><?xml version="1.0" encoding="utf-8"?>
<queryTable xmlns="http://schemas.openxmlformats.org/spreadsheetml/2006/main" name="ExternalData_99" connectionId="279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ExternalData_93" connectionId="271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ExternalData_77" connectionId="243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ExternalData274" headers="0" preserveFormatting="0" adjustColumnWidth="0" connectionId="400" autoFormatId="0" applyNumberFormats="0" applyBorderFormats="0" applyFontFormats="0" applyPatternFormats="0" applyAlignmentFormats="0" applyWidthHeightFormats="1"/>
</file>

<file path=xl/queryTables/queryTable229.xml><?xml version="1.0" encoding="utf-8"?>
<queryTable xmlns="http://schemas.openxmlformats.org/spreadsheetml/2006/main" name="ExternalData266" headers="0" preserveFormatting="0" adjustColumnWidth="0" connectionId="418" autoFormatId="0" applyNumberFormats="0" applyBorderFormats="0" applyFontFormats="0" applyPatternFormats="0" applyAlignmentFormats="0" applyWidthHeightFormats="1"/>
</file>

<file path=xl/queryTables/queryTable230.xml><?xml version="1.0" encoding="utf-8"?>
<queryTable xmlns="http://schemas.openxmlformats.org/spreadsheetml/2006/main" name="ExternalData268" headers="0" preserveFormatting="0" adjustColumnWidth="0" connectionId="414" autoFormatId="0" applyNumberFormats="0" applyBorderFormats="0" applyFontFormats="0" applyPatternFormats="0" applyAlignmentFormats="0" applyWidthHeightFormats="1"/>
</file>

<file path=xl/queryTables/queryTable231.xml><?xml version="1.0" encoding="utf-8"?>
<queryTable xmlns="http://schemas.openxmlformats.org/spreadsheetml/2006/main" name="ExternalData260" headers="0" preserveFormatting="0" adjustColumnWidth="0" connectionId="431" autoFormatId="0" applyNumberFormats="0" applyBorderFormats="0" applyFontFormats="0" applyPatternFormats="0" applyAlignmentFormats="0" applyWidthHeightFormats="1"/>
</file>

<file path=xl/queryTables/queryTable232.xml><?xml version="1.0" encoding="utf-8"?>
<queryTable xmlns="http://schemas.openxmlformats.org/spreadsheetml/2006/main" name="ExternalData_33" headers="0" connectionId="146" autoFormatId="0" applyNumberFormats="0" applyBorderFormats="0" applyFontFormats="0" applyPatternFormats="0" applyAlignmentFormats="0" applyWidthHeightFormats="1"/>
</file>

<file path=xl/queryTables/queryTable233.xml><?xml version="1.0" encoding="utf-8"?>
<queryTable xmlns="http://schemas.openxmlformats.org/spreadsheetml/2006/main" name="ExternalData_52" headers="0" connectionId="188" autoFormatId="0" applyNumberFormats="0" applyBorderFormats="0" applyFontFormats="0" applyPatternFormats="0" applyAlignmentFormats="0" applyWidthHeightFormats="1"/>
</file>

<file path=xl/queryTables/queryTable234.xml><?xml version="1.0" encoding="utf-8"?>
<queryTable xmlns="http://schemas.openxmlformats.org/spreadsheetml/2006/main" name="ExternalData267" headers="0" preserveFormatting="0" adjustColumnWidth="0" connectionId="416" autoFormatId="0" applyNumberFormats="0" applyBorderFormats="0" applyFontFormats="0" applyPatternFormats="0" applyAlignmentFormats="0" applyWidthHeightFormats="1"/>
</file>

<file path=xl/queryTables/queryTable235.xml><?xml version="1.0" encoding="utf-8"?>
<queryTable xmlns="http://schemas.openxmlformats.org/spreadsheetml/2006/main" name="ExternalData241" headers="0" preserveFormatting="0" adjustColumnWidth="0" connectionId="26" autoFormatId="0" applyNumberFormats="0" applyBorderFormats="0" applyFontFormats="0" applyPatternFormats="0" applyAlignmentFormats="0" applyWidthHeightFormats="1"/>
</file>

<file path=xl/queryTables/queryTable236.xml><?xml version="1.0" encoding="utf-8"?>
<queryTable xmlns="http://schemas.openxmlformats.org/spreadsheetml/2006/main" name="ExternalData31_1" headers="0" preserveFormatting="0" adjustColumnWidth="0" connectionId="359" autoFormatId="0" applyNumberFormats="0" applyBorderFormats="0" applyFontFormats="0" applyPatternFormats="0" applyAlignmentFormats="0" applyWidthHeightFormats="1"/>
</file>

<file path=xl/queryTables/queryTable237.xml><?xml version="1.0" encoding="utf-8"?>
<queryTable xmlns="http://schemas.openxmlformats.org/spreadsheetml/2006/main" name="ExternalData41_1" headers="0" preserveFormatting="0" adjustColumnWidth="0" connectionId="337" autoFormatId="0" applyNumberFormats="0" applyBorderFormats="0" applyFontFormats="0" applyPatternFormats="0" applyAlignmentFormats="0" applyWidthHeightFormats="1"/>
</file>

<file path=xl/queryTables/queryTable238.xml><?xml version="1.0" encoding="utf-8"?>
<queryTable xmlns="http://schemas.openxmlformats.org/spreadsheetml/2006/main" name="ExternalData_114" connectionId="255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ExternalData257_1" headers="0" preserveFormatting="0" adjustColumnWidth="0" connectionId="439" autoFormatId="0" applyNumberFormats="0" applyBorderFormats="0" applyFontFormats="0" applyPatternFormats="0" applyAlignmentFormats="0" applyWidthHeightFormats="1"/>
</file>

<file path=xl/queryTables/queryTable240.xml><?xml version="1.0" encoding="utf-8"?>
<queryTable xmlns="http://schemas.openxmlformats.org/spreadsheetml/2006/main" name="ExternalData236_1" headers="0" preserveFormatting="0" adjustColumnWidth="0" connectionId="39" autoFormatId="0" applyNumberFormats="0" applyBorderFormats="0" applyFontFormats="0" applyPatternFormats="0" applyAlignmentFormats="0" applyWidthHeightFormats="1"/>
</file>

<file path=xl/queryTables/queryTable241.xml><?xml version="1.0" encoding="utf-8"?>
<queryTable xmlns="http://schemas.openxmlformats.org/spreadsheetml/2006/main" name="ExternalData234_1" headers="0" preserveFormatting="0" adjustColumnWidth="0" connectionId="43" autoFormatId="0" applyNumberFormats="0" applyBorderFormats="0" applyFontFormats="0" applyPatternFormats="0" applyAlignmentFormats="0" applyWidthHeightFormats="1"/>
</file>

<file path=xl/queryTables/queryTable242.xml><?xml version="1.0" encoding="utf-8"?>
<queryTable xmlns="http://schemas.openxmlformats.org/spreadsheetml/2006/main" name="ExternalData29_1" headers="0" preserveFormatting="0" adjustColumnWidth="0" connectionId="111" autoFormatId="0" applyNumberFormats="0" applyBorderFormats="0" applyFontFormats="0" applyPatternFormats="0" applyAlignmentFormats="0" applyWidthHeightFormats="1"/>
</file>

<file path=xl/queryTables/queryTable243.xml><?xml version="1.0" encoding="utf-8"?>
<queryTable xmlns="http://schemas.openxmlformats.org/spreadsheetml/2006/main" name="ExternalData46_1" headers="0" preserveFormatting="0" adjustColumnWidth="0" connectionId="327" autoFormatId="0" applyNumberFormats="0" applyBorderFormats="0" applyFontFormats="0" applyPatternFormats="0" applyAlignmentFormats="0" applyWidthHeightFormats="1"/>
</file>

<file path=xl/queryTables/queryTable244.xml><?xml version="1.0" encoding="utf-8"?>
<queryTable xmlns="http://schemas.openxmlformats.org/spreadsheetml/2006/main" name="ExternalData269_1" headers="0" preserveFormatting="0" adjustColumnWidth="0" connectionId="413" autoFormatId="0" applyNumberFormats="0" applyBorderFormats="0" applyFontFormats="0" applyPatternFormats="0" applyAlignmentFormats="0" applyWidthHeightFormats="1"/>
</file>

<file path=xl/queryTables/queryTable245.xml><?xml version="1.0" encoding="utf-8"?>
<queryTable xmlns="http://schemas.openxmlformats.org/spreadsheetml/2006/main" name="ExternalData242_1" headers="0" preserveFormatting="0" adjustColumnWidth="0" connectionId="24" autoFormatId="0" applyNumberFormats="0" applyBorderFormats="0" applyFontFormats="0" applyPatternFormats="0" applyAlignmentFormats="0" applyWidthHeightFormats="1"/>
</file>

<file path=xl/queryTables/queryTable246.xml><?xml version="1.0" encoding="utf-8"?>
<queryTable xmlns="http://schemas.openxmlformats.org/spreadsheetml/2006/main" name="ExternalData_149" headers="0" connectionId="209" autoFormatId="0" applyNumberFormats="0" applyBorderFormats="0" applyFontFormats="0" applyPatternFormats="0" applyAlignmentFormats="0" applyWidthHeightFormats="1"/>
</file>

<file path=xl/queryTables/queryTable247.xml><?xml version="1.0" encoding="utf-8"?>
<queryTable xmlns="http://schemas.openxmlformats.org/spreadsheetml/2006/main" name="ExternalData_105" headers="0" connectionId="151" autoFormatId="0" applyNumberFormats="0" applyBorderFormats="0" applyFontFormats="0" applyPatternFormats="0" applyAlignmentFormats="0" applyWidthHeightFormats="1"/>
</file>

<file path=xl/queryTables/queryTable248.xml><?xml version="1.0" encoding="utf-8"?>
<queryTable xmlns="http://schemas.openxmlformats.org/spreadsheetml/2006/main" name="ExternalData49_1" headers="0" preserveFormatting="0" adjustColumnWidth="0" connectionId="320" autoFormatId="0" applyNumberFormats="0" applyBorderFormats="0" applyFontFormats="0" applyPatternFormats="0" applyAlignmentFormats="0" applyWidthHeightFormats="1"/>
</file>

<file path=xl/queryTables/queryTable249.xml><?xml version="1.0" encoding="utf-8"?>
<queryTable xmlns="http://schemas.openxmlformats.org/spreadsheetml/2006/main" name="ExternalData20_1" headers="0" preserveFormatting="0" adjustColumnWidth="0" connectionId="99" autoFormatId="0" applyNumberFormats="0" applyBorderFormats="0" applyFontFormats="0" applyPatternFormats="0" applyAlignmentFormats="0" applyWidthHeightFormats="1"/>
</file>

<file path=xl/queryTables/queryTable250.xml><?xml version="1.0" encoding="utf-8"?>
<queryTable xmlns="http://schemas.openxmlformats.org/spreadsheetml/2006/main" name="ExternalData_79" headers="0" connectionId="219" autoFormatId="0" applyNumberFormats="0" applyBorderFormats="0" applyFontFormats="0" applyPatternFormats="0" applyAlignmentFormats="0" applyWidthHeightFormats="1"/>
</file>

<file path=xl/queryTables/queryTable251.xml><?xml version="1.0" encoding="utf-8"?>
<queryTable xmlns="http://schemas.openxmlformats.org/spreadsheetml/2006/main" name="ExternalData_146" connectionId="230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ExternalData_76" headers="0" connectionId="138" autoFormatId="0" applyNumberFormats="0" applyBorderFormats="0" applyFontFormats="0" applyPatternFormats="0" applyAlignmentFormats="0" applyWidthHeightFormats="1"/>
</file>

<file path=xl/queryTables/queryTable253.xml><?xml version="1.0" encoding="utf-8"?>
<queryTable xmlns="http://schemas.openxmlformats.org/spreadsheetml/2006/main" name="ExternalData_108" headers="0" connectionId="153" autoFormatId="0" applyNumberFormats="0" applyBorderFormats="0" applyFontFormats="0" applyPatternFormats="0" applyAlignmentFormats="0" applyWidthHeightFormats="1"/>
</file>

<file path=xl/queryTables/queryTable254.xml><?xml version="1.0" encoding="utf-8"?>
<queryTable xmlns="http://schemas.openxmlformats.org/spreadsheetml/2006/main" name="ExternalData284_1" headers="0" preserveFormatting="0" adjustColumnWidth="0" connectionId="379" autoFormatId="0" applyNumberFormats="0" applyBorderFormats="0" applyFontFormats="0" applyPatternFormats="0" applyAlignmentFormats="0" applyWidthHeightFormats="1"/>
</file>

<file path=xl/queryTables/queryTable255.xml><?xml version="1.0" encoding="utf-8"?>
<queryTable xmlns="http://schemas.openxmlformats.org/spreadsheetml/2006/main" name="ExternalData_148" headers="0" connectionId="193" autoFormatId="0" applyNumberFormats="0" applyBorderFormats="0" applyFontFormats="0" applyPatternFormats="0" applyAlignmentFormats="0" applyWidthHeightFormats="1"/>
</file>

<file path=xl/queryTables/queryTable256.xml><?xml version="1.0" encoding="utf-8"?>
<queryTable xmlns="http://schemas.openxmlformats.org/spreadsheetml/2006/main" name="ExternalData_115" headers="0" connectionId="173" autoFormatId="0" applyNumberFormats="0" applyBorderFormats="0" applyFontFormats="0" applyPatternFormats="0" applyAlignmentFormats="0" applyWidthHeightFormats="1"/>
</file>

<file path=xl/queryTables/queryTable257.xml><?xml version="1.0" encoding="utf-8"?>
<queryTable xmlns="http://schemas.openxmlformats.org/spreadsheetml/2006/main" name="ExternalData62_1" headers="0" preserveFormatting="0" adjustColumnWidth="0" connectionId="291" autoFormatId="0" applyNumberFormats="0" applyBorderFormats="0" applyFontFormats="0" applyPatternFormats="0" applyAlignmentFormats="0" applyWidthHeightFormats="1"/>
</file>

<file path=xl/queryTables/queryTable258.xml><?xml version="1.0" encoding="utf-8"?>
<queryTable xmlns="http://schemas.openxmlformats.org/spreadsheetml/2006/main" name="ExternalData28_1" headers="0" preserveFormatting="0" adjustColumnWidth="0" connectionId="361" autoFormatId="0" applyNumberFormats="0" applyBorderFormats="0" applyFontFormats="0" applyPatternFormats="0" applyAlignmentFormats="0" applyWidthHeightFormats="1"/>
</file>

<file path=xl/queryTables/queryTable259.xml><?xml version="1.0" encoding="utf-8"?>
<queryTable xmlns="http://schemas.openxmlformats.org/spreadsheetml/2006/main" name="ExternalData37_1" headers="0" preserveFormatting="0" adjustColumnWidth="0" connectionId="347" autoFormatId="0" applyNumberFormats="0" applyBorderFormats="0" applyFontFormats="0" applyPatternFormats="0" applyAlignmentFormats="0" applyWidthHeightFormats="1"/>
</file>

<file path=xl/queryTables/queryTable260.xml><?xml version="1.0" encoding="utf-8"?>
<queryTable xmlns="http://schemas.openxmlformats.org/spreadsheetml/2006/main" name="ExternalData240_1" headers="0" preserveFormatting="0" adjustColumnWidth="0" connectionId="31" autoFormatId="0" applyNumberFormats="0" applyBorderFormats="0" applyFontFormats="0" applyPatternFormats="0" applyAlignmentFormats="0" applyWidthHeightFormats="1"/>
</file>

<file path=xl/queryTables/queryTable261.xml><?xml version="1.0" encoding="utf-8"?>
<queryTable xmlns="http://schemas.openxmlformats.org/spreadsheetml/2006/main" name="ExternalData42_1" headers="0" preserveFormatting="0" adjustColumnWidth="0" connectionId="335" autoFormatId="0" applyNumberFormats="0" applyBorderFormats="0" applyFontFormats="0" applyPatternFormats="0" applyAlignmentFormats="0" applyWidthHeightFormats="1"/>
</file>

<file path=xl/queryTables/queryTable262.xml><?xml version="1.0" encoding="utf-8"?>
<queryTable xmlns="http://schemas.openxmlformats.org/spreadsheetml/2006/main" name="ExternalData272_1" headers="0" preserveFormatting="0" adjustColumnWidth="0" connectionId="405" autoFormatId="0" applyNumberFormats="0" applyBorderFormats="0" applyFontFormats="0" applyPatternFormats="0" applyAlignmentFormats="0" applyWidthHeightFormats="1"/>
</file>

<file path=xl/queryTables/queryTable263.xml><?xml version="1.0" encoding="utf-8"?>
<queryTable xmlns="http://schemas.openxmlformats.org/spreadsheetml/2006/main" name="ExternalData_116" headers="0" connectionId="171" autoFormatId="0" applyNumberFormats="0" applyBorderFormats="0" applyFontFormats="0" applyPatternFormats="0" applyAlignmentFormats="0" applyWidthHeightFormats="1"/>
</file>

<file path=xl/queryTables/queryTable264.xml><?xml version="1.0" encoding="utf-8"?>
<queryTable xmlns="http://schemas.openxmlformats.org/spreadsheetml/2006/main" name="ExternalData60_1" headers="0" preserveFormatting="0" adjustColumnWidth="0" connectionId="295" autoFormatId="0" applyNumberFormats="0" applyBorderFormats="0" applyFontFormats="0" applyPatternFormats="0" applyAlignmentFormats="0" applyWidthHeightFormats="1"/>
</file>

<file path=xl/queryTables/queryTable265.xml><?xml version="1.0" encoding="utf-8"?>
<queryTable xmlns="http://schemas.openxmlformats.org/spreadsheetml/2006/main" name="ExternalData233_1" headers="0" preserveFormatting="0" adjustColumnWidth="0" connectionId="45" autoFormatId="0" applyNumberFormats="0" applyBorderFormats="0" applyFontFormats="0" applyPatternFormats="0" applyAlignmentFormats="0" applyWidthHeightFormats="1"/>
</file>

<file path=xl/queryTables/queryTable266.xml><?xml version="1.0" encoding="utf-8"?>
<queryTable xmlns="http://schemas.openxmlformats.org/spreadsheetml/2006/main" name="ExternalData276_1" headers="0" preserveFormatting="0" adjustColumnWidth="0" connectionId="397" autoFormatId="0" applyNumberFormats="0" applyBorderFormats="0" applyFontFormats="0" applyPatternFormats="0" applyAlignmentFormats="0" applyWidthHeightFormats="1"/>
</file>

<file path=xl/queryTables/queryTable267.xml><?xml version="1.0" encoding="utf-8"?>
<queryTable xmlns="http://schemas.openxmlformats.org/spreadsheetml/2006/main" name="ExternalData_73" connectionId="236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ExternalData235_1" headers="0" preserveFormatting="0" adjustColumnWidth="0" connectionId="41" autoFormatId="0" applyNumberFormats="0" applyBorderFormats="0" applyFontFormats="0" applyPatternFormats="0" applyAlignmentFormats="0" applyWidthHeightFormats="1"/>
</file>

<file path=xl/queryTables/queryTable269.xml><?xml version="1.0" encoding="utf-8"?>
<queryTable xmlns="http://schemas.openxmlformats.org/spreadsheetml/2006/main" name="ExternalData50_1" headers="0" preserveFormatting="0" adjustColumnWidth="0" connectionId="317" autoFormatId="0" applyNumberFormats="0" applyBorderFormats="0" applyFontFormats="0" applyPatternFormats="0" applyAlignmentFormats="0" applyWidthHeightFormats="1"/>
</file>

<file path=xl/queryTables/queryTable270.xml><?xml version="1.0" encoding="utf-8"?>
<queryTable xmlns="http://schemas.openxmlformats.org/spreadsheetml/2006/main" name="ExternalData57_1" headers="0" preserveFormatting="0" adjustColumnWidth="0" connectionId="303" autoFormatId="0" applyNumberFormats="0" applyBorderFormats="0" applyFontFormats="0" applyPatternFormats="0" applyAlignmentFormats="0" applyWidthHeightFormats="1"/>
</file>

<file path=xl/queryTables/queryTable271.xml><?xml version="1.0" encoding="utf-8"?>
<queryTable xmlns="http://schemas.openxmlformats.org/spreadsheetml/2006/main" name="ExternalData248_1" headers="0" preserveFormatting="0" adjustColumnWidth="0" connectionId="12" autoFormatId="0" applyNumberFormats="0" applyBorderFormats="0" applyFontFormats="0" applyPatternFormats="0" applyAlignmentFormats="0" applyWidthHeightFormats="1"/>
</file>

<file path=xl/queryTables/queryTable272.xml><?xml version="1.0" encoding="utf-8"?>
<queryTable xmlns="http://schemas.openxmlformats.org/spreadsheetml/2006/main" name="ExternalData_82" headers="0" connectionId="322" autoFormatId="0" applyNumberFormats="0" applyBorderFormats="0" applyFontFormats="0" applyPatternFormats="0" applyAlignmentFormats="0" applyWidthHeightFormats="1"/>
</file>

<file path=xl/queryTables/queryTable273.xml><?xml version="1.0" encoding="utf-8"?>
<queryTable xmlns="http://schemas.openxmlformats.org/spreadsheetml/2006/main" name="ExternalData_85" headers="0" connectionId="7" autoFormatId="0" applyNumberFormats="0" applyBorderFormats="0" applyFontFormats="0" applyPatternFormats="0" applyAlignmentFormats="0" applyWidthHeightFormats="1"/>
</file>

<file path=xl/queryTables/queryTable274.xml><?xml version="1.0" encoding="utf-8"?>
<queryTable xmlns="http://schemas.openxmlformats.org/spreadsheetml/2006/main" name="ExternalData44_1" headers="0" preserveFormatting="0" adjustColumnWidth="0" connectionId="331" autoFormatId="0" applyNumberFormats="0" applyBorderFormats="0" applyFontFormats="0" applyPatternFormats="0" applyAlignmentFormats="0" applyWidthHeightFormats="1"/>
</file>

<file path=xl/queryTables/queryTable275.xml><?xml version="1.0" encoding="utf-8"?>
<queryTable xmlns="http://schemas.openxmlformats.org/spreadsheetml/2006/main" name="ExternalData232_1" headers="0" preserveFormatting="0" adjustColumnWidth="0" connectionId="47" autoFormatId="0" applyNumberFormats="0" applyBorderFormats="0" applyFontFormats="0" applyPatternFormats="0" applyAlignmentFormats="0" applyWidthHeightFormats="1"/>
</file>

<file path=xl/queryTables/queryTable276.xml><?xml version="1.0" encoding="utf-8"?>
<queryTable xmlns="http://schemas.openxmlformats.org/spreadsheetml/2006/main" name="ExternalData_117" headers="0" connectionId="344" autoFormatId="0" applyNumberFormats="0" applyBorderFormats="0" applyFontFormats="0" applyPatternFormats="0" applyAlignmentFormats="0" applyWidthHeightFormats="1"/>
</file>

<file path=xl/queryTables/queryTable277.xml><?xml version="1.0" encoding="utf-8"?>
<queryTable xmlns="http://schemas.openxmlformats.org/spreadsheetml/2006/main" name="ExternalData32_1" headers="0" preserveFormatting="0" adjustColumnWidth="0" connectionId="357" autoFormatId="0" applyNumberFormats="0" applyBorderFormats="0" applyFontFormats="0" applyPatternFormats="0" applyAlignmentFormats="0" applyWidthHeightFormats="1"/>
</file>

<file path=xl/queryTables/queryTable278.xml><?xml version="1.0" encoding="utf-8"?>
<queryTable xmlns="http://schemas.openxmlformats.org/spreadsheetml/2006/main" name="ExternalData282_1" headers="0" preserveFormatting="0" adjustColumnWidth="0" connectionId="383" autoFormatId="0" applyNumberFormats="0" applyBorderFormats="0" applyFontFormats="0" applyPatternFormats="0" applyAlignmentFormats="0" applyWidthHeightFormats="1"/>
</file>

<file path=xl/queryTables/queryTable279.xml><?xml version="1.0" encoding="utf-8"?>
<queryTable xmlns="http://schemas.openxmlformats.org/spreadsheetml/2006/main" name="ExternalData35_1" headers="0" preserveFormatting="0" adjustColumnWidth="0" connectionId="351" autoFormatId="0" applyNumberFormats="0" applyBorderFormats="0" applyFontFormats="0" applyPatternFormats="0" applyAlignmentFormats="0" applyWidthHeightFormats="1"/>
</file>

<file path=xl/queryTables/queryTable280.xml><?xml version="1.0" encoding="utf-8"?>
<queryTable xmlns="http://schemas.openxmlformats.org/spreadsheetml/2006/main" name="ExternalData2_1" headers="0" preserveFormatting="0" adjustColumnWidth="0" connectionId="369" autoFormatId="0" applyNumberFormats="0" applyBorderFormats="0" applyFontFormats="0" applyPatternFormats="0" applyAlignmentFormats="0" applyWidthHeightFormats="1"/>
</file>

<file path=xl/queryTables/queryTable281.xml><?xml version="1.0" encoding="utf-8"?>
<queryTable xmlns="http://schemas.openxmlformats.org/spreadsheetml/2006/main" name="ExternalData245_1" headers="0" preserveFormatting="0" adjustColumnWidth="0" connectionId="18" autoFormatId="0" applyNumberFormats="0" applyBorderFormats="0" applyFontFormats="0" applyPatternFormats="0" applyAlignmentFormats="0" applyWidthHeightFormats="1"/>
</file>

<file path=xl/queryTables/queryTable282.xml><?xml version="1.0" encoding="utf-8"?>
<queryTable xmlns="http://schemas.openxmlformats.org/spreadsheetml/2006/main" name="ExternalData239_1" headers="0" preserveFormatting="0" adjustColumnWidth="0" connectionId="33" autoFormatId="0" applyNumberFormats="0" applyBorderFormats="0" applyFontFormats="0" applyPatternFormats="0" applyAlignmentFormats="0" applyWidthHeightFormats="1"/>
</file>

<file path=xl/queryTables/queryTable283.xml><?xml version="1.0" encoding="utf-8"?>
<queryTable xmlns="http://schemas.openxmlformats.org/spreadsheetml/2006/main" name="ExternalData5_1" headers="0" preserveFormatting="0" adjustColumnWidth="0" connectionId="61" autoFormatId="0" applyNumberFormats="0" applyBorderFormats="0" applyFontFormats="0" applyPatternFormats="0" applyAlignmentFormats="0" applyWidthHeightFormats="1"/>
</file>

<file path=xl/queryTables/queryTable284.xml><?xml version="1.0" encoding="utf-8"?>
<queryTable xmlns="http://schemas.openxmlformats.org/spreadsheetml/2006/main" name="ExternalData275_1" headers="0" preserveFormatting="0" adjustColumnWidth="0" connectionId="399" autoFormatId="0" applyNumberFormats="0" applyBorderFormats="0" applyFontFormats="0" applyPatternFormats="0" applyAlignmentFormats="0" applyWidthHeightFormats="1"/>
</file>

<file path=xl/queryTables/queryTable285.xml><?xml version="1.0" encoding="utf-8"?>
<queryTable xmlns="http://schemas.openxmlformats.org/spreadsheetml/2006/main" name="ExternalData8_1" headers="0" preserveFormatting="0" adjustColumnWidth="0" connectionId="67" autoFormatId="0" applyNumberFormats="0" applyBorderFormats="0" applyFontFormats="0" applyPatternFormats="0" applyAlignmentFormats="0" applyWidthHeightFormats="1"/>
</file>

<file path=xl/queryTables/queryTable286.xml><?xml version="1.0" encoding="utf-8"?>
<queryTable xmlns="http://schemas.openxmlformats.org/spreadsheetml/2006/main" name="ExternalData69_1" headers="0" preserveFormatting="0" adjustColumnWidth="0" connectionId="229" autoFormatId="0" applyNumberFormats="0" applyBorderFormats="0" applyFontFormats="0" applyPatternFormats="0" applyAlignmentFormats="0" applyWidthHeightFormats="1"/>
</file>

<file path=xl/queryTables/queryTable287.xml><?xml version="1.0" encoding="utf-8"?>
<queryTable xmlns="http://schemas.openxmlformats.org/spreadsheetml/2006/main" name="ExternalData72_1" headers="0" preserveFormatting="0" adjustColumnWidth="0" connectionId="162" autoFormatId="0" applyNumberFormats="0" applyBorderFormats="0" applyFontFormats="0" applyPatternFormats="0" applyAlignmentFormats="0" applyWidthHeightFormats="1"/>
</file>

<file path=xl/queryTables/queryTable288.xml><?xml version="1.0" encoding="utf-8"?>
<queryTable xmlns="http://schemas.openxmlformats.org/spreadsheetml/2006/main" name="ExternalData26_1" headers="0" preserveFormatting="0" adjustColumnWidth="0" connectionId="367" autoFormatId="0" applyNumberFormats="0" applyBorderFormats="0" applyFontFormats="0" applyPatternFormats="0" applyAlignmentFormats="0" applyWidthHeightFormats="1"/>
</file>

<file path=xl/queryTables/queryTable289.xml><?xml version="1.0" encoding="utf-8"?>
<queryTable xmlns="http://schemas.openxmlformats.org/spreadsheetml/2006/main" name="ExternalData9_1" headers="0" preserveFormatting="0" adjustColumnWidth="0" connectionId="69" autoFormatId="0" applyNumberFormats="0" applyBorderFormats="0" applyFontFormats="0" applyPatternFormats="0" applyAlignmentFormats="0" applyWidthHeightFormats="1"/>
</file>

<file path=xl/queryTables/queryTable290.xml><?xml version="1.0" encoding="utf-8"?>
<queryTable xmlns="http://schemas.openxmlformats.org/spreadsheetml/2006/main" name="ExternalData238_1" headers="0" preserveFormatting="0" adjustColumnWidth="0" connectionId="35" autoFormatId="0" applyNumberFormats="0" applyBorderFormats="0" applyFontFormats="0" applyPatternFormats="0" applyAlignmentFormats="0" applyWidthHeightFormats="1"/>
</file>

<file path=xl/queryTables/queryTable291.xml><?xml version="1.0" encoding="utf-8"?>
<queryTable xmlns="http://schemas.openxmlformats.org/spreadsheetml/2006/main" name="ExternalData45_1" headers="0" preserveFormatting="0" adjustColumnWidth="0" connectionId="329" autoFormatId="0" applyNumberFormats="0" applyBorderFormats="0" applyFontFormats="0" applyPatternFormats="0" applyAlignmentFormats="0" applyWidthHeightFormats="1"/>
</file>

<file path=xl/queryTables/queryTable292.xml><?xml version="1.0" encoding="utf-8"?>
<queryTable xmlns="http://schemas.openxmlformats.org/spreadsheetml/2006/main" name="ExternalData22_1" headers="0" preserveFormatting="0" adjustColumnWidth="0" connectionId="103" autoFormatId="0" applyNumberFormats="0" applyBorderFormats="0" applyFontFormats="0" applyPatternFormats="0" applyAlignmentFormats="0" applyWidthHeightFormats="1"/>
</file>

<file path=xl/queryTables/queryTable293.xml><?xml version="1.0" encoding="utf-8"?>
<queryTable xmlns="http://schemas.openxmlformats.org/spreadsheetml/2006/main" name="ExternalData_83" headers="0" connectionId="191" autoFormatId="0" applyNumberFormats="0" applyBorderFormats="0" applyFontFormats="0" applyPatternFormats="0" applyAlignmentFormats="0" applyWidthHeightFormats="1"/>
</file>

<file path=xl/queryTables/queryTable294.xml><?xml version="1.0" encoding="utf-8"?>
<queryTable xmlns="http://schemas.openxmlformats.org/spreadsheetml/2006/main" name="ExternalData274_1" headers="0" preserveFormatting="0" adjustColumnWidth="0" connectionId="401" autoFormatId="0" applyNumberFormats="0" applyBorderFormats="0" applyFontFormats="0" applyPatternFormats="0" applyAlignmentFormats="0" applyWidthHeightFormats="1"/>
</file>

<file path=xl/queryTables/queryTable295.xml><?xml version="1.0" encoding="utf-8"?>
<queryTable xmlns="http://schemas.openxmlformats.org/spreadsheetml/2006/main" name="ExternalData_84" headers="0" connectionId="133" autoFormatId="0" applyNumberFormats="0" applyBorderFormats="0" applyFontFormats="0" applyPatternFormats="0" applyAlignmentFormats="0" applyWidthHeightFormats="1"/>
</file>

<file path=xl/queryTables/queryTable296.xml><?xml version="1.0" encoding="utf-8"?>
<queryTable xmlns="http://schemas.openxmlformats.org/spreadsheetml/2006/main" name="ExternalData39_1" headers="0" preserveFormatting="0" adjustColumnWidth="0" connectionId="342" autoFormatId="0" applyNumberFormats="0" applyBorderFormats="0" applyFontFormats="0" applyPatternFormats="0" applyAlignmentFormats="0" applyWidthHeightFormats="1"/>
</file>

<file path=xl/queryTables/queryTable297.xml><?xml version="1.0" encoding="utf-8"?>
<queryTable xmlns="http://schemas.openxmlformats.org/spreadsheetml/2006/main" name="ExternalData_77" headers="0" connectionId="121" autoFormatId="0" applyNumberFormats="0" applyBorderFormats="0" applyFontFormats="0" applyPatternFormats="0" applyAlignmentFormats="0" applyWidthHeightFormats="1"/>
</file>

<file path=xl/queryTables/queryTable298.xml><?xml version="1.0" encoding="utf-8"?>
<queryTable xmlns="http://schemas.openxmlformats.org/spreadsheetml/2006/main" name="ExternalData_132" headers="0" connectionId="300" autoFormatId="0" applyNumberFormats="0" applyBorderFormats="0" applyFontFormats="0" applyPatternFormats="0" applyAlignmentFormats="0" applyWidthHeightFormats="1"/>
</file>

<file path=xl/queryTables/queryTable299.xml><?xml version="1.0" encoding="utf-8"?>
<queryTable xmlns="http://schemas.openxmlformats.org/spreadsheetml/2006/main" name="ExternalData_153" connectionId="232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ExternalData278_1" headers="0" preserveFormatting="0" adjustColumnWidth="0" connectionId="393" autoFormatId="0" applyNumberFormats="0" applyBorderFormats="0" applyFontFormats="0" applyPatternFormats="0" applyAlignmentFormats="0" applyWidthHeightFormats="1"/>
</file>

<file path=xl/queryTables/queryTable301.xml><?xml version="1.0" encoding="utf-8"?>
<queryTable xmlns="http://schemas.openxmlformats.org/spreadsheetml/2006/main" name="ExternalData264_1" headers="0" preserveFormatting="0" adjustColumnWidth="0" connectionId="423" autoFormatId="0" applyNumberFormats="0" applyBorderFormats="0" applyFontFormats="0" applyPatternFormats="0" applyAlignmentFormats="0" applyWidthHeightFormats="1"/>
</file>

<file path=xl/queryTables/queryTable302.xml><?xml version="1.0" encoding="utf-8"?>
<queryTable xmlns="http://schemas.openxmlformats.org/spreadsheetml/2006/main" name="ExternalData36_1" headers="0" preserveFormatting="0" adjustColumnWidth="0" connectionId="349" autoFormatId="0" applyNumberFormats="0" applyBorderFormats="0" applyFontFormats="0" applyPatternFormats="0" applyAlignmentFormats="0" applyWidthHeightFormats="1"/>
</file>

<file path=xl/queryTables/queryTable303.xml><?xml version="1.0" encoding="utf-8"?>
<queryTable xmlns="http://schemas.openxmlformats.org/spreadsheetml/2006/main" name="ExternalData_75" headers="0" connectionId="213" autoFormatId="0" applyNumberFormats="0" applyBorderFormats="0" applyFontFormats="0" applyPatternFormats="0" applyAlignmentFormats="0" applyWidthHeightFormats="1"/>
</file>

<file path=xl/queryTables/queryTable304.xml><?xml version="1.0" encoding="utf-8"?>
<queryTable xmlns="http://schemas.openxmlformats.org/spreadsheetml/2006/main" name="ExternalData_129" headers="0" connectionId="258" autoFormatId="0" applyNumberFormats="0" applyBorderFormats="0" applyFontFormats="0" applyPatternFormats="0" applyAlignmentFormats="0" applyWidthHeightFormats="1"/>
</file>

<file path=xl/queryTables/queryTable305.xml><?xml version="1.0" encoding="utf-8"?>
<queryTable xmlns="http://schemas.openxmlformats.org/spreadsheetml/2006/main" name="ExternalData_89" headers="0" connectionId="145" autoFormatId="0" applyNumberFormats="0" applyBorderFormats="0" applyFontFormats="0" applyPatternFormats="0" applyAlignmentFormats="0" applyWidthHeightFormats="1"/>
</file>

<file path=xl/queryTables/queryTable306.xml><?xml version="1.0" encoding="utf-8"?>
<queryTable xmlns="http://schemas.openxmlformats.org/spreadsheetml/2006/main" name="ExternalData47_1" headers="0" preserveFormatting="0" adjustColumnWidth="0" connectionId="325" autoFormatId="0" applyNumberFormats="0" applyBorderFormats="0" applyFontFormats="0" applyPatternFormats="0" applyAlignmentFormats="0" applyWidthHeightFormats="1"/>
</file>

<file path=xl/queryTables/queryTable307.xml><?xml version="1.0" encoding="utf-8"?>
<queryTable xmlns="http://schemas.openxmlformats.org/spreadsheetml/2006/main" name="ExternalData65_1" headers="0" preserveFormatting="0" adjustColumnWidth="0" connectionId="285" autoFormatId="0" applyNumberFormats="0" applyBorderFormats="0" applyFontFormats="0" applyPatternFormats="0" applyAlignmentFormats="0" applyWidthHeightFormats="1"/>
</file>

<file path=xl/queryTables/queryTable308.xml><?xml version="1.0" encoding="utf-8"?>
<queryTable xmlns="http://schemas.openxmlformats.org/spreadsheetml/2006/main" name="ExternalData_118" headers="0" connectionId="366" autoFormatId="0" applyNumberFormats="0" applyBorderFormats="0" applyFontFormats="0" applyPatternFormats="0" applyAlignmentFormats="0" applyWidthHeightFormats="1"/>
</file>

<file path=xl/queryTables/queryTable309.xml><?xml version="1.0" encoding="utf-8"?>
<queryTable xmlns="http://schemas.openxmlformats.org/spreadsheetml/2006/main" name="ExternalData_122" headers="0" connectionId="157" autoFormatId="0" applyNumberFormats="0" applyBorderFormats="0" applyFontFormats="0" applyPatternFormats="0" applyAlignmentFormats="0" applyWidthHeightFormats="1"/>
</file>

<file path=xl/queryTables/queryTable310.xml><?xml version="1.0" encoding="utf-8"?>
<queryTable xmlns="http://schemas.openxmlformats.org/spreadsheetml/2006/main" name="ExternalData287_1" headers="0" preserveFormatting="0" adjustColumnWidth="0" connectionId="373" autoFormatId="0" applyNumberFormats="0" applyBorderFormats="0" applyFontFormats="0" applyPatternFormats="0" applyAlignmentFormats="0" applyWidthHeightFormats="1"/>
</file>

<file path=xl/queryTables/queryTable311.xml><?xml version="1.0" encoding="utf-8"?>
<queryTable xmlns="http://schemas.openxmlformats.org/spreadsheetml/2006/main" name="ExternalData_124" headers="0" connectionId="211" autoFormatId="0" applyNumberFormats="0" applyBorderFormats="0" applyFontFormats="0" applyPatternFormats="0" applyAlignmentFormats="0" applyWidthHeightFormats="1"/>
</file>

<file path=xl/queryTables/queryTable312.xml><?xml version="1.0" encoding="utf-8"?>
<queryTable xmlns="http://schemas.openxmlformats.org/spreadsheetml/2006/main" name="ExternalData206_1" headers="0" preserveFormatting="0" adjustColumnWidth="0" connectionId="79" autoFormatId="0" applyNumberFormats="0" applyBorderFormats="0" applyFontFormats="0" applyPatternFormats="0" applyAlignmentFormats="0" applyWidthHeightFormats="1"/>
</file>

<file path=xl/queryTables/queryTable313.xml><?xml version="1.0" encoding="utf-8"?>
<queryTable xmlns="http://schemas.openxmlformats.org/spreadsheetml/2006/main" name="ExternalData_94" headers="0" connectionId="215" autoFormatId="0" applyNumberFormats="0" applyBorderFormats="0" applyFontFormats="0" applyPatternFormats="0" applyAlignmentFormats="0" applyWidthHeightFormats="1"/>
</file>

<file path=xl/queryTables/queryTable314.xml><?xml version="1.0" encoding="utf-8"?>
<queryTable xmlns="http://schemas.openxmlformats.org/spreadsheetml/2006/main" name="ExternalData_134" connectionId="238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ExternalData_121" headers="0" connectionId="160" autoFormatId="0" applyNumberFormats="0" applyBorderFormats="0" applyFontFormats="0" applyPatternFormats="0" applyAlignmentFormats="0" applyWidthHeightFormats="1"/>
</file>

<file path=xl/queryTables/queryTable316.xml><?xml version="1.0" encoding="utf-8"?>
<queryTable xmlns="http://schemas.openxmlformats.org/spreadsheetml/2006/main" name="ExternalData33_1" headers="0" preserveFormatting="0" adjustColumnWidth="0" connectionId="355" autoFormatId="0" applyNumberFormats="0" applyBorderFormats="0" applyFontFormats="0" applyPatternFormats="0" applyAlignmentFormats="0" applyWidthHeightFormats="1"/>
</file>

<file path=xl/queryTables/queryTable317.xml><?xml version="1.0" encoding="utf-8"?>
<queryTable xmlns="http://schemas.openxmlformats.org/spreadsheetml/2006/main" name="ExternalData53_1" headers="0" preserveFormatting="0" adjustColumnWidth="0" connectionId="311" autoFormatId="0" applyNumberFormats="0" applyBorderFormats="0" applyFontFormats="0" applyPatternFormats="0" applyAlignmentFormats="0" applyWidthHeightFormats="1"/>
</file>

<file path=xl/queryTables/queryTable318.xml><?xml version="1.0" encoding="utf-8"?>
<queryTable xmlns="http://schemas.openxmlformats.org/spreadsheetml/2006/main" name="ExternalData_90" headers="0" connectionId="127" autoFormatId="0" applyNumberFormats="0" applyBorderFormats="0" applyFontFormats="0" applyPatternFormats="0" applyAlignmentFormats="0" applyWidthHeightFormats="1"/>
</file>

<file path=xl/queryTables/queryTable319.xml><?xml version="1.0" encoding="utf-8"?>
<queryTable xmlns="http://schemas.openxmlformats.org/spreadsheetml/2006/main" name="ExternalData21_1" headers="0" preserveFormatting="0" adjustColumnWidth="0" connectionId="101" autoFormatId="0" applyNumberFormats="0" applyBorderFormats="0" applyFontFormats="0" applyPatternFormats="0" applyAlignmentFormats="0" applyWidthHeightFormats="1"/>
</file>

<file path=xl/queryTables/queryTable320.xml><?xml version="1.0" encoding="utf-8"?>
<queryTable xmlns="http://schemas.openxmlformats.org/spreadsheetml/2006/main" name="ExternalData_109" connectionId="251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ExternalData_92" connectionId="221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ExternalData24_1" headers="0" preserveFormatting="0" adjustColumnWidth="0" connectionId="107" autoFormatId="0" applyNumberFormats="0" applyBorderFormats="0" applyFontFormats="0" applyPatternFormats="0" applyAlignmentFormats="0" applyWidthHeightFormats="1"/>
</file>

<file path=xl/queryTables/queryTable323.xml><?xml version="1.0" encoding="utf-8"?>
<queryTable xmlns="http://schemas.openxmlformats.org/spreadsheetml/2006/main" name="ExternalData43_1" headers="0" preserveFormatting="0" adjustColumnWidth="0" connectionId="333" autoFormatId="0" applyNumberFormats="0" applyBorderFormats="0" applyFontFormats="0" applyPatternFormats="0" applyAlignmentFormats="0" applyWidthHeightFormats="1"/>
</file>

<file path=xl/queryTables/queryTable324.xml><?xml version="1.0" encoding="utf-8"?>
<queryTable xmlns="http://schemas.openxmlformats.org/spreadsheetml/2006/main" name="ExternalData_93" headers="0" connectionId="177" autoFormatId="0" applyNumberFormats="0" applyBorderFormats="0" applyFontFormats="0" applyPatternFormats="0" applyAlignmentFormats="0" applyWidthHeightFormats="1"/>
</file>

<file path=xl/queryTables/queryTable325.xml><?xml version="1.0" encoding="utf-8"?>
<queryTable xmlns="http://schemas.openxmlformats.org/spreadsheetml/2006/main" name="ExternalData_113" headers="0" connectionId="201" autoFormatId="0" applyNumberFormats="0" applyBorderFormats="0" applyFontFormats="0" applyPatternFormats="0" applyAlignmentFormats="0" applyWidthHeightFormats="1"/>
</file>

<file path=xl/queryTables/queryTable326.xml><?xml version="1.0" encoding="utf-8"?>
<queryTable xmlns="http://schemas.openxmlformats.org/spreadsheetml/2006/main" name="ExternalData251_1" headers="0" preserveFormatting="0" adjustColumnWidth="0" connectionId="5" autoFormatId="0" applyNumberFormats="0" applyBorderFormats="0" applyFontFormats="0" applyPatternFormats="0" applyAlignmentFormats="0" applyWidthHeightFormats="1"/>
</file>

<file path=xl/queryTables/queryTable327.xml><?xml version="1.0" encoding="utf-8"?>
<queryTable xmlns="http://schemas.openxmlformats.org/spreadsheetml/2006/main" name="ExternalData3_1" headers="0" preserveFormatting="0" adjustColumnWidth="0" connectionId="81" autoFormatId="0" applyNumberFormats="0" applyBorderFormats="0" applyFontFormats="0" applyPatternFormats="0" applyAlignmentFormats="0" applyWidthHeightFormats="1"/>
</file>

<file path=xl/queryTables/queryTable328.xml><?xml version="1.0" encoding="utf-8"?>
<queryTable xmlns="http://schemas.openxmlformats.org/spreadsheetml/2006/main" name="ExternalData_86" headers="0" connectionId="135" autoFormatId="0" applyNumberFormats="0" applyBorderFormats="0" applyFontFormats="0" applyPatternFormats="0" applyAlignmentFormats="0" applyWidthHeightFormats="1"/>
</file>

<file path=xl/queryTables/queryTable329.xml><?xml version="1.0" encoding="utf-8"?>
<queryTable xmlns="http://schemas.openxmlformats.org/spreadsheetml/2006/main" name="ExternalData13_1" headers="0" preserveFormatting="0" adjustColumnWidth="0" connectionId="83" autoFormatId="0" applyNumberFormats="0" applyBorderFormats="0" applyFontFormats="0" applyPatternFormats="0" applyAlignmentFormats="0" applyWidthHeightFormats="1"/>
</file>

<file path=xl/queryTables/queryTable330.xml><?xml version="1.0" encoding="utf-8"?>
<queryTable xmlns="http://schemas.openxmlformats.org/spreadsheetml/2006/main" name="ExternalData_97" headers="0" connectionId="113" autoFormatId="0" applyNumberFormats="0" applyBorderFormats="0" applyFontFormats="0" applyPatternFormats="0" applyAlignmentFormats="0" applyWidthHeightFormats="1"/>
</file>

<file path=xl/queryTables/queryTable331.xml><?xml version="1.0" encoding="utf-8"?>
<queryTable xmlns="http://schemas.openxmlformats.org/spreadsheetml/2006/main" name="ExternalData253_1" headers="0" preserveFormatting="0" adjustColumnWidth="0" connectionId="447" autoFormatId="0" applyNumberFormats="0" applyBorderFormats="0" applyFontFormats="0" applyPatternFormats="0" applyAlignmentFormats="0" applyWidthHeightFormats="1"/>
</file>

<file path=xl/queryTables/queryTable332.xml><?xml version="1.0" encoding="utf-8"?>
<queryTable xmlns="http://schemas.openxmlformats.org/spreadsheetml/2006/main" name="ExternalData_99" headers="0" connectionId="74" autoFormatId="0" applyNumberFormats="0" applyBorderFormats="0" applyFontFormats="0" applyPatternFormats="0" applyAlignmentFormats="0" applyWidthHeightFormats="1"/>
</file>

<file path=xl/queryTables/queryTable333.xml><?xml version="1.0" encoding="utf-8"?>
<queryTable xmlns="http://schemas.openxmlformats.org/spreadsheetml/2006/main" name="ExternalData_87" headers="0" connectionId="175" autoFormatId="0" applyNumberFormats="0" applyBorderFormats="0" applyFontFormats="0" applyPatternFormats="0" applyAlignmentFormats="0" applyWidthHeightFormats="1"/>
</file>

<file path=xl/queryTables/queryTable334.xml><?xml version="1.0" encoding="utf-8"?>
<queryTable xmlns="http://schemas.openxmlformats.org/spreadsheetml/2006/main" name="ExternalData7_1" headers="0" preserveFormatting="0" adjustColumnWidth="0" connectionId="65" autoFormatId="0" applyNumberFormats="0" applyBorderFormats="0" applyFontFormats="0" applyPatternFormats="0" applyAlignmentFormats="0" applyWidthHeightFormats="1"/>
</file>

<file path=xl/queryTables/queryTable335.xml><?xml version="1.0" encoding="utf-8"?>
<queryTable xmlns="http://schemas.openxmlformats.org/spreadsheetml/2006/main" name="ExternalData27_1" headers="0" preserveFormatting="0" adjustColumnWidth="0" connectionId="364" autoFormatId="0" applyNumberFormats="0" applyBorderFormats="0" applyFontFormats="0" applyPatternFormats="0" applyAlignmentFormats="0" applyWidthHeightFormats="1"/>
</file>

<file path=xl/queryTables/queryTable336.xml><?xml version="1.0" encoding="utf-8"?>
<queryTable xmlns="http://schemas.openxmlformats.org/spreadsheetml/2006/main" name="ExternalData_74" headers="0" connectionId="189" autoFormatId="0" applyNumberFormats="0" applyBorderFormats="0" applyFontFormats="0" applyPatternFormats="0" applyAlignmentFormats="0" applyWidthHeightFormats="1"/>
</file>

<file path=xl/queryTables/queryTable337.xml><?xml version="1.0" encoding="utf-8"?>
<queryTable xmlns="http://schemas.openxmlformats.org/spreadsheetml/2006/main" name="ExternalData_123" headers="0" connectionId="141" autoFormatId="0" applyNumberFormats="0" applyBorderFormats="0" applyFontFormats="0" applyPatternFormats="0" applyAlignmentFormats="0" applyWidthHeightFormats="1"/>
</file>

<file path=xl/queryTables/queryTable338.xml><?xml version="1.0" encoding="utf-8"?>
<queryTable xmlns="http://schemas.openxmlformats.org/spreadsheetml/2006/main" name="ExternalData11_1" headers="0" preserveFormatting="0" adjustColumnWidth="0" connectionId="75" autoFormatId="0" applyNumberFormats="0" applyBorderFormats="0" applyFontFormats="0" applyPatternFormats="0" applyAlignmentFormats="0" applyWidthHeightFormats="1"/>
</file>

<file path=xl/queryTables/queryTable339.xml><?xml version="1.0" encoding="utf-8"?>
<queryTable xmlns="http://schemas.openxmlformats.org/spreadsheetml/2006/main" name="ExternalData243_1" headers="0" preserveFormatting="0" adjustColumnWidth="0" connectionId="22" autoFormatId="0" applyNumberFormats="0" applyBorderFormats="0" applyFontFormats="0" applyPatternFormats="0" applyAlignmentFormats="0" applyWidthHeightFormats="1"/>
</file>

<file path=xl/queryTables/queryTable340.xml><?xml version="1.0" encoding="utf-8"?>
<queryTable xmlns="http://schemas.openxmlformats.org/spreadsheetml/2006/main" name="ExternalData_103" headers="0" connectionId="167" autoFormatId="0" applyNumberFormats="0" applyBorderFormats="0" applyFontFormats="0" applyPatternFormats="0" applyAlignmentFormats="0" applyWidthHeightFormats="1"/>
</file>

<file path=xl/queryTables/queryTable341.xml><?xml version="1.0" encoding="utf-8"?>
<queryTable xmlns="http://schemas.openxmlformats.org/spreadsheetml/2006/main" name="ExternalData262_1" headers="0" preserveFormatting="0" adjustColumnWidth="0" connectionId="427" autoFormatId="0" applyNumberFormats="0" applyBorderFormats="0" applyFontFormats="0" applyPatternFormats="0" applyAlignmentFormats="0" applyWidthHeightFormats="1"/>
</file>

<file path=xl/queryTables/queryTable342.xml><?xml version="1.0" encoding="utf-8"?>
<queryTable xmlns="http://schemas.openxmlformats.org/spreadsheetml/2006/main" name="ExternalData55_1" headers="0" preserveFormatting="0" adjustColumnWidth="0" connectionId="307" autoFormatId="0" applyNumberFormats="0" applyBorderFormats="0" applyFontFormats="0" applyPatternFormats="0" applyAlignmentFormats="0" applyWidthHeightFormats="1"/>
</file>

<file path=xl/queryTables/queryTable343.xml><?xml version="1.0" encoding="utf-8"?>
<queryTable xmlns="http://schemas.openxmlformats.org/spreadsheetml/2006/main" name="ExternalData_126" headers="0" connectionId="123" autoFormatId="0" applyNumberFormats="0" applyBorderFormats="0" applyFontFormats="0" applyPatternFormats="0" applyAlignmentFormats="0" applyWidthHeightFormats="1"/>
</file>

<file path=xl/queryTables/queryTable344.xml><?xml version="1.0" encoding="utf-8"?>
<queryTable xmlns="http://schemas.openxmlformats.org/spreadsheetml/2006/main" name="ExternalData15_1" headers="0" preserveFormatting="0" adjustColumnWidth="0" connectionId="87" autoFormatId="0" applyNumberFormats="0" applyBorderFormats="0" applyFontFormats="0" applyPatternFormats="0" applyAlignmentFormats="0" applyWidthHeightFormats="1"/>
</file>

<file path=xl/queryTables/queryTable345.xml><?xml version="1.0" encoding="utf-8"?>
<queryTable xmlns="http://schemas.openxmlformats.org/spreadsheetml/2006/main" name="ExternalData59_1" headers="0" preserveFormatting="0" adjustColumnWidth="0" connectionId="298" autoFormatId="0" applyNumberFormats="0" applyBorderFormats="0" applyFontFormats="0" applyPatternFormats="0" applyAlignmentFormats="0" applyWidthHeightFormats="1"/>
</file>

<file path=xl/queryTables/queryTable346.xml><?xml version="1.0" encoding="utf-8"?>
<queryTable xmlns="http://schemas.openxmlformats.org/spreadsheetml/2006/main" name="ExternalData38_1" headers="0" preserveFormatting="0" adjustColumnWidth="0" connectionId="345" autoFormatId="0" applyNumberFormats="0" applyBorderFormats="0" applyFontFormats="0" applyPatternFormats="0" applyAlignmentFormats="0" applyWidthHeightFormats="1"/>
</file>

<file path=xl/queryTables/queryTable347.xml><?xml version="1.0" encoding="utf-8"?>
<queryTable xmlns="http://schemas.openxmlformats.org/spreadsheetml/2006/main" name="ExternalData6_1" headers="0" preserveFormatting="0" adjustColumnWidth="0" connectionId="63" autoFormatId="0" applyNumberFormats="0" applyBorderFormats="0" applyFontFormats="0" applyPatternFormats="0" applyAlignmentFormats="0" applyWidthHeightFormats="1"/>
</file>

<file path=xl/queryTables/queryTable348.xml><?xml version="1.0" encoding="utf-8"?>
<queryTable xmlns="http://schemas.openxmlformats.org/spreadsheetml/2006/main" name="ExternalData228_1" headers="0" preserveFormatting="0" adjustColumnWidth="0" connectionId="57" autoFormatId="0" applyNumberFormats="0" applyBorderFormats="0" applyFontFormats="0" applyPatternFormats="0" applyAlignmentFormats="0" applyWidthHeightFormats="1"/>
</file>

<file path=xl/queryTables/queryTable349.xml><?xml version="1.0" encoding="utf-8"?>
<queryTable xmlns="http://schemas.openxmlformats.org/spreadsheetml/2006/main" name="ExternalData_106" connectionId="227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ExternalData281_1" headers="0" preserveFormatting="0" adjustColumnWidth="0" connectionId="386" autoFormatId="0" applyNumberFormats="0" applyBorderFormats="0" applyFontFormats="0" applyPatternFormats="0" applyAlignmentFormats="0" applyWidthHeightFormats="1"/>
</file>

<file path=xl/queryTables/queryTable351.xml><?xml version="1.0" encoding="utf-8"?>
<queryTable xmlns="http://schemas.openxmlformats.org/spreadsheetml/2006/main" name="ExternalData254_1" headers="0" preserveFormatting="0" adjustColumnWidth="0" connectionId="445" autoFormatId="0" applyNumberFormats="0" applyBorderFormats="0" applyFontFormats="0" applyPatternFormats="0" applyAlignmentFormats="0" applyWidthHeightFormats="1"/>
</file>

<file path=xl/queryTables/queryTable352.xml><?xml version="1.0" encoding="utf-8"?>
<queryTable xmlns="http://schemas.openxmlformats.org/spreadsheetml/2006/main" name="ExternalData16_1" headers="0" preserveFormatting="0" adjustColumnWidth="0" connectionId="89" autoFormatId="0" applyNumberFormats="0" applyBorderFormats="0" applyFontFormats="0" applyPatternFormats="0" applyAlignmentFormats="0" applyWidthHeightFormats="1"/>
</file>

<file path=xl/queryTables/queryTable353.xml><?xml version="1.0" encoding="utf-8"?>
<queryTable xmlns="http://schemas.openxmlformats.org/spreadsheetml/2006/main" name="ExternalData34_1" headers="0" preserveFormatting="0" adjustColumnWidth="0" connectionId="353" autoFormatId="0" applyNumberFormats="0" applyBorderFormats="0" applyFontFormats="0" applyPatternFormats="0" applyAlignmentFormats="0" applyWidthHeightFormats="1"/>
</file>

<file path=xl/queryTables/queryTable354.xml><?xml version="1.0" encoding="utf-8"?>
<queryTable xmlns="http://schemas.openxmlformats.org/spreadsheetml/2006/main" name="ExternalData64_1" headers="0" preserveFormatting="0" adjustColumnWidth="0" connectionId="287" autoFormatId="0" applyNumberFormats="0" applyBorderFormats="0" applyFontFormats="0" applyPatternFormats="0" applyAlignmentFormats="0" applyWidthHeightFormats="1"/>
</file>

<file path=xl/queryTables/queryTable355.xml><?xml version="1.0" encoding="utf-8"?>
<queryTable xmlns="http://schemas.openxmlformats.org/spreadsheetml/2006/main" name="ExternalData246_1" headers="0" preserveFormatting="0" adjustColumnWidth="0" connectionId="16" autoFormatId="0" applyNumberFormats="0" applyBorderFormats="0" applyFontFormats="0" applyPatternFormats="0" applyAlignmentFormats="0" applyWidthHeightFormats="1"/>
</file>

<file path=xl/queryTables/queryTable356.xml><?xml version="1.0" encoding="utf-8"?>
<queryTable xmlns="http://schemas.openxmlformats.org/spreadsheetml/2006/main" name="ExternalData4_1" headers="0" preserveFormatting="0" adjustColumnWidth="0" connectionId="59" autoFormatId="0" applyNumberFormats="0" applyBorderFormats="0" applyFontFormats="0" applyPatternFormats="0" applyAlignmentFormats="0" applyWidthHeightFormats="1"/>
</file>

<file path=xl/queryTables/queryTable357.xml><?xml version="1.0" encoding="utf-8"?>
<queryTable xmlns="http://schemas.openxmlformats.org/spreadsheetml/2006/main" name="ExternalData25_1" headers="0" preserveFormatting="0" adjustColumnWidth="0" connectionId="109" autoFormatId="0" applyNumberFormats="0" applyBorderFormats="0" applyFontFormats="0" applyPatternFormats="0" applyAlignmentFormats="0" applyWidthHeightFormats="1"/>
</file>

<file path=xl/queryTables/queryTable358.xml><?xml version="1.0" encoding="utf-8"?>
<queryTable xmlns="http://schemas.openxmlformats.org/spreadsheetml/2006/main" name="ExternalData261_1" headers="0" preserveFormatting="0" adjustColumnWidth="0" connectionId="430" autoFormatId="0" applyNumberFormats="0" applyBorderFormats="0" applyFontFormats="0" applyPatternFormats="0" applyAlignmentFormats="0" applyWidthHeightFormats="1"/>
</file>

<file path=xl/queryTables/queryTable359.xml><?xml version="1.0" encoding="utf-8"?>
<queryTable xmlns="http://schemas.openxmlformats.org/spreadsheetml/2006/main" name="ExternalData_101" headers="0" connectionId="185" autoFormatId="0" applyNumberFormats="0" applyBorderFormats="0" applyFontFormats="0" applyPatternFormats="0" applyAlignmentFormats="0" applyWidthHeightFormats="1"/>
</file>

<file path=xl/queryTables/queryTable360.xml><?xml version="1.0" encoding="utf-8"?>
<queryTable xmlns="http://schemas.openxmlformats.org/spreadsheetml/2006/main" name="ExternalData_140" connectionId="244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ExternalData_138" headers="0" connectionId="388" autoFormatId="0" applyNumberFormats="0" applyBorderFormats="0" applyFontFormats="0" applyPatternFormats="0" applyAlignmentFormats="0" applyWidthHeightFormats="1"/>
</file>

<file path=xl/queryTables/queryTable362.xml><?xml version="1.0" encoding="utf-8"?>
<queryTable xmlns="http://schemas.openxmlformats.org/spreadsheetml/2006/main" name="ExternalData267_1" headers="0" preserveFormatting="0" adjustColumnWidth="0" connectionId="417" autoFormatId="0" applyNumberFormats="0" applyBorderFormats="0" applyFontFormats="0" applyPatternFormats="0" applyAlignmentFormats="0" applyWidthHeightFormats="1"/>
</file>

<file path=xl/queryTables/queryTable363.xml><?xml version="1.0" encoding="utf-8"?>
<queryTable xmlns="http://schemas.openxmlformats.org/spreadsheetml/2006/main" name="ExternalData250_1" headers="0" preserveFormatting="0" adjustColumnWidth="0" connectionId="8" autoFormatId="0" applyNumberFormats="0" applyBorderFormats="0" applyFontFormats="0" applyPatternFormats="0" applyAlignmentFormats="0" applyWidthHeightFormats="1"/>
</file>

<file path=xl/queryTables/queryTable364.xml><?xml version="1.0" encoding="utf-8"?>
<queryTable xmlns="http://schemas.openxmlformats.org/spreadsheetml/2006/main" name="ExternalData260_1" headers="0" preserveFormatting="0" adjustColumnWidth="0" connectionId="433" autoFormatId="0" applyNumberFormats="0" applyBorderFormats="0" applyFontFormats="0" applyPatternFormats="0" applyAlignmentFormats="0" applyWidthHeightFormats="1"/>
</file>

<file path=xl/queryTables/queryTable365.xml><?xml version="1.0" encoding="utf-8"?>
<queryTable xmlns="http://schemas.openxmlformats.org/spreadsheetml/2006/main" name="ExternalData_107" headers="0" connectionId="204" autoFormatId="0" applyNumberFormats="0" applyBorderFormats="0" applyFontFormats="0" applyPatternFormats="0" applyAlignmentFormats="0" applyWidthHeightFormats="1"/>
</file>

<file path=xl/queryTables/queryTable366.xml><?xml version="1.0" encoding="utf-8"?>
<queryTable xmlns="http://schemas.openxmlformats.org/spreadsheetml/2006/main" name="ExternalData_136" headers="0" connectionId="179" autoFormatId="0" applyNumberFormats="0" applyBorderFormats="0" applyFontFormats="0" applyPatternFormats="0" applyAlignmentFormats="0" applyWidthHeightFormats="1"/>
</file>

<file path=xl/queryTables/queryTable367.xml><?xml version="1.0" encoding="utf-8"?>
<queryTable xmlns="http://schemas.openxmlformats.org/spreadsheetml/2006/main" name="ExternalData_111" headers="0" connectionId="207" autoFormatId="0" applyNumberFormats="0" applyBorderFormats="0" applyFontFormats="0" applyPatternFormats="0" applyAlignmentFormats="0" applyWidthHeightFormats="1"/>
</file>

<file path=xl/queryTables/queryTable368.xml><?xml version="1.0" encoding="utf-8"?>
<queryTable xmlns="http://schemas.openxmlformats.org/spreadsheetml/2006/main" name="ExternalData258_1" headers="0" preserveFormatting="0" adjustColumnWidth="0" connectionId="437" autoFormatId="0" applyNumberFormats="0" applyBorderFormats="0" applyFontFormats="0" applyPatternFormats="0" applyAlignmentFormats="0" applyWidthHeightFormats="1"/>
</file>

<file path=xl/queryTables/queryTable369.xml><?xml version="1.0" encoding="utf-8"?>
<queryTable xmlns="http://schemas.openxmlformats.org/spreadsheetml/2006/main" name="ExternalData12_1" headers="0" preserveFormatting="0" adjustColumnWidth="0" connectionId="77" autoFormatId="0" applyNumberFormats="0" applyBorderFormats="0" applyFontFormats="0" applyPatternFormats="0" applyAlignmentFormats="0" applyWidthHeightFormats="1"/>
</file>

<file path=xl/queryTables/queryTable370.xml><?xml version="1.0" encoding="utf-8"?>
<queryTable xmlns="http://schemas.openxmlformats.org/spreadsheetml/2006/main" name="ExternalData_100" headers="0" connectionId="125" autoFormatId="0" applyNumberFormats="0" applyBorderFormats="0" applyFontFormats="0" applyPatternFormats="0" applyAlignmentFormats="0" applyWidthHeightFormats="1"/>
</file>

<file path=xl/queryTables/queryTable371.xml><?xml version="1.0" encoding="utf-8"?>
<queryTable xmlns="http://schemas.openxmlformats.org/spreadsheetml/2006/main" name="ExternalData_120" headers="0" connectionId="149" autoFormatId="0" applyNumberFormats="0" applyBorderFormats="0" applyFontFormats="0" applyPatternFormats="0" applyAlignmentFormats="0" applyWidthHeightFormats="1"/>
</file>

<file path=xl/queryTables/queryTable372.xml><?xml version="1.0" encoding="utf-8"?>
<queryTable xmlns="http://schemas.openxmlformats.org/spreadsheetml/2006/main" name="ExternalData_112" headers="0" connectionId="118" autoFormatId="0" applyNumberFormats="0" applyBorderFormats="0" applyFontFormats="0" applyPatternFormats="0" applyAlignmentFormats="0" applyWidthHeightFormats="1"/>
</file>

<file path=xl/queryTables/queryTable373.xml><?xml version="1.0" encoding="utf-8"?>
<queryTable xmlns="http://schemas.openxmlformats.org/spreadsheetml/2006/main" name="ExternalData_88" headers="0" connectionId="27" autoFormatId="0" applyNumberFormats="0" applyBorderFormats="0" applyFontFormats="0" applyPatternFormats="0" applyAlignmentFormats="0" applyWidthHeightFormats="1"/>
</file>

<file path=xl/queryTables/queryTable374.xml><?xml version="1.0" encoding="utf-8"?>
<queryTable xmlns="http://schemas.openxmlformats.org/spreadsheetml/2006/main" name="ExternalData268_1" headers="0" preserveFormatting="0" adjustColumnWidth="0" connectionId="415" autoFormatId="0" applyNumberFormats="0" applyBorderFormats="0" applyFontFormats="0" applyPatternFormats="0" applyAlignmentFormats="0" applyWidthHeightFormats="1"/>
</file>

<file path=xl/queryTables/queryTable375.xml><?xml version="1.0" encoding="utf-8"?>
<queryTable xmlns="http://schemas.openxmlformats.org/spreadsheetml/2006/main" name="ExternalData56_1" headers="0" preserveFormatting="0" adjustColumnWidth="0" connectionId="305" autoFormatId="0" applyNumberFormats="0" applyBorderFormats="0" applyFontFormats="0" applyPatternFormats="0" applyAlignmentFormats="0" applyWidthHeightFormats="1"/>
</file>

<file path=xl/queryTables/queryTable376.xml><?xml version="1.0" encoding="utf-8"?>
<queryTable xmlns="http://schemas.openxmlformats.org/spreadsheetml/2006/main" name="ExternalData279_1" headers="0" preserveFormatting="0" adjustColumnWidth="0" connectionId="391" autoFormatId="0" applyNumberFormats="0" applyBorderFormats="0" applyFontFormats="0" applyPatternFormats="0" applyAlignmentFormats="0" applyWidthHeightFormats="1"/>
</file>

<file path=xl/queryTables/queryTable377.xml><?xml version="1.0" encoding="utf-8"?>
<queryTable xmlns="http://schemas.openxmlformats.org/spreadsheetml/2006/main" name="ExternalData_81" connectionId="249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ExternalData280_1" headers="0" preserveFormatting="0" adjustColumnWidth="0" connectionId="389" autoFormatId="0" applyNumberFormats="0" applyBorderFormats="0" applyFontFormats="0" applyPatternFormats="0" applyAlignmentFormats="0" applyWidthHeightFormats="1"/>
</file>

<file path=xl/queryTables/queryTable379.xml><?xml version="1.0" encoding="utf-8"?>
<queryTable xmlns="http://schemas.openxmlformats.org/spreadsheetml/2006/main" name="ExternalData17_1" headers="0" preserveFormatting="0" adjustColumnWidth="0" connectionId="91" autoFormatId="0" applyNumberFormats="0" applyBorderFormats="0" applyFontFormats="0" applyPatternFormats="0" applyAlignmentFormats="0" applyWidthHeightFormats="1"/>
</file>

<file path=xl/queryTables/queryTable380.xml><?xml version="1.0" encoding="utf-8"?>
<queryTable xmlns="http://schemas.openxmlformats.org/spreadsheetml/2006/main" name="ExternalData286_1" headers="0" preserveFormatting="0" adjustColumnWidth="0" connectionId="375" autoFormatId="0" applyNumberFormats="0" applyBorderFormats="0" applyFontFormats="0" applyPatternFormats="0" applyAlignmentFormats="0" applyWidthHeightFormats="1"/>
</file>

<file path=xl/queryTables/queryTable381.xml><?xml version="1.0" encoding="utf-8"?>
<queryTable xmlns="http://schemas.openxmlformats.org/spreadsheetml/2006/main" name="ExternalData52_1" headers="0" preserveFormatting="0" adjustColumnWidth="0" connectionId="313" autoFormatId="0" applyNumberFormats="0" applyBorderFormats="0" applyFontFormats="0" applyPatternFormats="0" applyAlignmentFormats="0" applyWidthHeightFormats="1"/>
</file>

<file path=xl/queryTables/queryTable382.xml><?xml version="1.0" encoding="utf-8"?>
<queryTable xmlns="http://schemas.openxmlformats.org/spreadsheetml/2006/main" name="ExternalData259_1" headers="0" preserveFormatting="0" adjustColumnWidth="0" connectionId="435" autoFormatId="0" applyNumberFormats="0" applyBorderFormats="0" applyFontFormats="0" applyPatternFormats="0" applyAlignmentFormats="0" applyWidthHeightFormats="1"/>
</file>

<file path=xl/queryTables/queryTable383.xml><?xml version="1.0" encoding="utf-8"?>
<queryTable xmlns="http://schemas.openxmlformats.org/spreadsheetml/2006/main" name="ExternalData_141" headers="0" connectionId="30" autoFormatId="0" applyNumberFormats="0" applyBorderFormats="0" applyFontFormats="0" applyPatternFormats="0" applyAlignmentFormats="0" applyWidthHeightFormats="1"/>
</file>

<file path=xl/queryTables/queryTable384.xml><?xml version="1.0" encoding="utf-8"?>
<queryTable xmlns="http://schemas.openxmlformats.org/spreadsheetml/2006/main" name="ExternalData_96" headers="0" connectionId="182" autoFormatId="0" applyNumberFormats="0" applyBorderFormats="0" applyFontFormats="0" applyPatternFormats="0" applyAlignmentFormats="0" applyWidthHeightFormats="1"/>
</file>

<file path=xl/queryTables/queryTable385.xml><?xml version="1.0" encoding="utf-8"?>
<queryTable xmlns="http://schemas.openxmlformats.org/spreadsheetml/2006/main" name="ExternalData_119" connectionId="240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ExternalData273_1" headers="0" preserveFormatting="0" adjustColumnWidth="0" connectionId="403" autoFormatId="0" applyNumberFormats="0" applyBorderFormats="0" applyFontFormats="0" applyPatternFormats="0" applyAlignmentFormats="0" applyWidthHeightFormats="1"/>
</file>

<file path=xl/queryTables/queryTable387.xml><?xml version="1.0" encoding="utf-8"?>
<queryTable xmlns="http://schemas.openxmlformats.org/spreadsheetml/2006/main" name="ExternalData249_1" headers="0" preserveFormatting="0" adjustColumnWidth="0" connectionId="10" autoFormatId="0" applyNumberFormats="0" applyBorderFormats="0" applyFontFormats="0" applyPatternFormats="0" applyAlignmentFormats="0" applyWidthHeightFormats="1"/>
</file>

<file path=xl/queryTables/queryTable388.xml><?xml version="1.0" encoding="utf-8"?>
<queryTable xmlns="http://schemas.openxmlformats.org/spreadsheetml/2006/main" name="ExternalData_150" headers="0" connectionId="217" autoFormatId="0" applyNumberFormats="0" applyBorderFormats="0" applyFontFormats="0" applyPatternFormats="0" applyAlignmentFormats="0" applyWidthHeightFormats="1"/>
</file>

<file path=xl/queryTables/queryTable389.xml><?xml version="1.0" encoding="utf-8"?>
<queryTable xmlns="http://schemas.openxmlformats.org/spreadsheetml/2006/main" name="ExternalData285_1" headers="0" preserveFormatting="0" adjustColumnWidth="0" connectionId="377" autoFormatId="0" applyNumberFormats="0" applyBorderFormats="0" applyFontFormats="0" applyPatternFormats="0" applyAlignmentFormats="0" applyWidthHeightFormats="1"/>
</file>

<file path=xl/queryTables/queryTable390.xml><?xml version="1.0" encoding="utf-8"?>
<queryTable xmlns="http://schemas.openxmlformats.org/spreadsheetml/2006/main" name="ExternalData61_1" headers="0" preserveFormatting="0" adjustColumnWidth="0" connectionId="293" autoFormatId="0" applyNumberFormats="0" applyBorderFormats="0" applyFontFormats="0" applyPatternFormats="0" applyAlignmentFormats="0" applyWidthHeightFormats="1"/>
</file>

<file path=xl/queryTables/queryTable391.xml><?xml version="1.0" encoding="utf-8"?>
<queryTable xmlns="http://schemas.openxmlformats.org/spreadsheetml/2006/main" name="ExternalData277_1" headers="0" preserveFormatting="0" adjustColumnWidth="0" connectionId="395" autoFormatId="0" applyNumberFormats="0" applyBorderFormats="0" applyFontFormats="0" applyPatternFormats="0" applyAlignmentFormats="0" applyWidthHeightFormats="1"/>
</file>

<file path=xl/queryTables/queryTable392.xml><?xml version="1.0" encoding="utf-8"?>
<queryTable xmlns="http://schemas.openxmlformats.org/spreadsheetml/2006/main" name="ExternalData54_1" headers="0" preserveFormatting="0" adjustColumnWidth="0" connectionId="309" autoFormatId="0" applyNumberFormats="0" applyBorderFormats="0" applyFontFormats="0" applyPatternFormats="0" applyAlignmentFormats="0" applyWidthHeightFormats="1"/>
</file>

<file path=xl/queryTables/queryTable393.xml><?xml version="1.0" encoding="utf-8"?>
<queryTable xmlns="http://schemas.openxmlformats.org/spreadsheetml/2006/main" name="ExternalData230_1" headers="0" preserveFormatting="0" adjustColumnWidth="0" connectionId="53" autoFormatId="0" applyNumberFormats="0" applyBorderFormats="0" applyFontFormats="0" applyPatternFormats="0" applyAlignmentFormats="0" applyWidthHeightFormats="1"/>
</file>

<file path=xl/queryTables/queryTable394.xml><?xml version="1.0" encoding="utf-8"?>
<queryTable xmlns="http://schemas.openxmlformats.org/spreadsheetml/2006/main" name="ExternalData68_1" headers="0" preserveFormatting="0" adjustColumnWidth="0" connectionId="256" autoFormatId="0" applyNumberFormats="0" applyBorderFormats="0" applyFontFormats="0" applyPatternFormats="0" applyAlignmentFormats="0" applyWidthHeightFormats="1"/>
</file>

<file path=xl/queryTables/queryTable395.xml><?xml version="1.0" encoding="utf-8"?>
<queryTable xmlns="http://schemas.openxmlformats.org/spreadsheetml/2006/main" name="ExternalData23_1" headers="0" preserveFormatting="0" adjustColumnWidth="0" connectionId="105" autoFormatId="0" applyNumberFormats="0" applyBorderFormats="0" applyFontFormats="0" applyPatternFormats="0" applyAlignmentFormats="0" applyWidthHeightFormats="1"/>
</file>

<file path=xl/queryTables/queryTable396.xml><?xml version="1.0" encoding="utf-8"?>
<queryTable xmlns="http://schemas.openxmlformats.org/spreadsheetml/2006/main" name="ExternalData_78" headers="0" connectionId="257" autoFormatId="0" applyNumberFormats="0" applyBorderFormats="0" applyFontFormats="0" applyPatternFormats="0" applyAlignmentFormats="0" applyWidthHeightFormats="1"/>
</file>

<file path=xl/queryTables/queryTable397.xml><?xml version="1.0" encoding="utf-8"?>
<queryTable xmlns="http://schemas.openxmlformats.org/spreadsheetml/2006/main" name="ExternalData229_1" headers="0" preserveFormatting="0" adjustColumnWidth="0" connectionId="55" autoFormatId="0" applyNumberFormats="0" applyBorderFormats="0" applyFontFormats="0" applyPatternFormats="0" applyAlignmentFormats="0" applyWidthHeightFormats="1"/>
</file>

<file path=xl/queryTables/queryTable398.xml><?xml version="1.0" encoding="utf-8"?>
<queryTable xmlns="http://schemas.openxmlformats.org/spreadsheetml/2006/main" name="ExternalData67_1" headers="0" preserveFormatting="0" adjustColumnWidth="0" connectionId="264" autoFormatId="0" applyNumberFormats="0" applyBorderFormats="0" applyFontFormats="0" applyPatternFormats="0" applyAlignmentFormats="0" applyWidthHeightFormats="1"/>
</file>

<file path=xl/queryTables/queryTable399.xml><?xml version="1.0" encoding="utf-8"?>
<queryTable xmlns="http://schemas.openxmlformats.org/spreadsheetml/2006/main" name="ExternalData48_1" headers="0" preserveFormatting="0" adjustColumnWidth="0" connectionId="323" autoFormatId="0" applyNumberFormats="0" applyBorderFormats="0" applyFontFormats="0" applyPatternFormats="0" applyAlignmentFormats="0" applyWidthHeightFormats="1"/>
</file>

<file path=xl/queryTables/queryTable400.xml><?xml version="1.0" encoding="utf-8"?>
<queryTable xmlns="http://schemas.openxmlformats.org/spreadsheetml/2006/main" name="ExternalData283_1" headers="0" preserveFormatting="0" adjustColumnWidth="0" connectionId="381" autoFormatId="0" applyNumberFormats="0" applyBorderFormats="0" applyFontFormats="0" applyPatternFormats="0" applyAlignmentFormats="0" applyWidthHeightFormats="1"/>
</file>

<file path=xl/queryTables/queryTable401.xml><?xml version="1.0" encoding="utf-8"?>
<queryTable xmlns="http://schemas.openxmlformats.org/spreadsheetml/2006/main" name="ExternalData_98" connectionId="223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ExternalData241_1" headers="0" preserveFormatting="0" adjustColumnWidth="0" connectionId="28" autoFormatId="0" applyNumberFormats="0" applyBorderFormats="0" applyFontFormats="0" applyPatternFormats="0" applyAlignmentFormats="0" applyWidthHeightFormats="1"/>
</file>

<file path=xl/queryTables/queryTable403.xml><?xml version="1.0" encoding="utf-8"?>
<queryTable xmlns="http://schemas.openxmlformats.org/spreadsheetml/2006/main" name="ExternalData_102" headers="0" connectionId="199" autoFormatId="0" applyNumberFormats="0" applyBorderFormats="0" applyFontFormats="0" applyPatternFormats="0" applyAlignmentFormats="0" applyWidthHeightFormats="1"/>
</file>

<file path=xl/queryTables/queryTable404.xml><?xml version="1.0" encoding="utf-8"?>
<queryTable xmlns="http://schemas.openxmlformats.org/spreadsheetml/2006/main" name="ExternalData231_1" headers="0" preserveFormatting="0" adjustColumnWidth="0" connectionId="50" autoFormatId="0" applyNumberFormats="0" applyBorderFormats="0" applyFontFormats="0" applyPatternFormats="0" applyAlignmentFormats="0" applyWidthHeightFormats="1"/>
</file>

<file path=xl/queryTables/queryTable405.xml><?xml version="1.0" encoding="utf-8"?>
<queryTable xmlns="http://schemas.openxmlformats.org/spreadsheetml/2006/main" name="ExternalData_91" connectionId="242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ExternalData_130" headers="0" connectionId="163" autoFormatId="0" applyNumberFormats="0" applyBorderFormats="0" applyFontFormats="0" applyPatternFormats="0" applyAlignmentFormats="0" applyWidthHeightFormats="1"/>
</file>

<file path=xl/queryTables/queryTable407.xml><?xml version="1.0" encoding="utf-8"?>
<queryTable xmlns="http://schemas.openxmlformats.org/spreadsheetml/2006/main" name="ExternalData_128" headers="0" connectionId="169" autoFormatId="0" applyNumberFormats="0" applyBorderFormats="0" applyFontFormats="0" applyPatternFormats="0" applyAlignmentFormats="0" applyWidthHeightFormats="1"/>
</file>

<file path=xl/queryTables/queryTable408.xml><?xml version="1.0" encoding="utf-8"?>
<queryTable xmlns="http://schemas.openxmlformats.org/spreadsheetml/2006/main" name="ExternalData_80" headers="0" connectionId="165" autoFormatId="0" applyNumberFormats="0" applyBorderFormats="0" applyFontFormats="0" applyPatternFormats="0" applyAlignmentFormats="0" applyWidthHeightFormats="1"/>
</file>

<file path=xl/queryTables/queryTable409.xml><?xml version="1.0" encoding="utf-8"?>
<queryTable xmlns="http://schemas.openxmlformats.org/spreadsheetml/2006/main" name="ExternalData_137" headers="0" connectionId="96" autoFormatId="0" applyNumberFormats="0" applyBorderFormats="0" applyFontFormats="0" applyPatternFormats="0" applyAlignmentFormats="0" applyWidthHeightFormats="1"/>
</file>

<file path=xl/queryTables/queryTable410.xml><?xml version="1.0" encoding="utf-8"?>
<queryTable xmlns="http://schemas.openxmlformats.org/spreadsheetml/2006/main" name="ExternalData256_1" headers="0" preserveFormatting="0" adjustColumnWidth="0" connectionId="441" autoFormatId="0" applyNumberFormats="0" applyBorderFormats="0" applyFontFormats="0" applyPatternFormats="0" applyAlignmentFormats="0" applyWidthHeightFormats="1"/>
</file>

<file path=xl/queryTables/queryTable411.xml><?xml version="1.0" encoding="utf-8"?>
<queryTable xmlns="http://schemas.openxmlformats.org/spreadsheetml/2006/main" name="ExternalData71_1" headers="0" preserveFormatting="0" adjustColumnWidth="0" connectionId="184" autoFormatId="0" applyNumberFormats="0" applyBorderFormats="0" applyFontFormats="0" applyPatternFormats="0" applyAlignmentFormats="0" applyWidthHeightFormats="1"/>
</file>

<file path=xl/queryTables/queryTable412.xml><?xml version="1.0" encoding="utf-8"?>
<queryTable xmlns="http://schemas.openxmlformats.org/spreadsheetml/2006/main" name="ExternalData263_1" headers="0" preserveFormatting="0" adjustColumnWidth="0" connectionId="425" autoFormatId="0" applyNumberFormats="0" applyBorderFormats="0" applyFontFormats="0" applyPatternFormats="0" applyAlignmentFormats="0" applyWidthHeightFormats="1"/>
</file>

<file path=xl/queryTables/queryTable413.xml><?xml version="1.0" encoding="utf-8"?>
<queryTable xmlns="http://schemas.openxmlformats.org/spreadsheetml/2006/main" name="ExternalData_151" headers="0" connectionId="432" autoFormatId="0" applyNumberFormats="0" applyBorderFormats="0" applyFontFormats="0" applyPatternFormats="0" applyAlignmentFormats="0" applyWidthHeightFormats="1"/>
</file>

<file path=xl/queryTables/queryTable414.xml><?xml version="1.0" encoding="utf-8"?>
<queryTable xmlns="http://schemas.openxmlformats.org/spreadsheetml/2006/main" name="ExternalData270_1" headers="0" preserveFormatting="0" adjustColumnWidth="0" connectionId="411" autoFormatId="0" applyNumberFormats="0" applyBorderFormats="0" applyFontFormats="0" applyPatternFormats="0" applyAlignmentFormats="0" applyWidthHeightFormats="1"/>
</file>

<file path=xl/queryTables/queryTable415.xml><?xml version="1.0" encoding="utf-8"?>
<queryTable xmlns="http://schemas.openxmlformats.org/spreadsheetml/2006/main" name="ExternalData_104" connectionId="234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ExternalData_145" headers="0" connectionId="187" autoFormatId="0" applyNumberFormats="0" applyBorderFormats="0" applyFontFormats="0" applyPatternFormats="0" applyAlignmentFormats="0" applyWidthHeightFormats="1"/>
</file>

<file path=xl/queryTables/queryTable417.xml><?xml version="1.0" encoding="utf-8"?>
<queryTable xmlns="http://schemas.openxmlformats.org/spreadsheetml/2006/main" name="ExternalData_110" headers="0" connectionId="140" autoFormatId="0" applyNumberFormats="0" applyBorderFormats="0" applyFontFormats="0" applyPatternFormats="0" applyAlignmentFormats="0" applyWidthHeightFormats="1"/>
</file>

<file path=xl/queryTables/queryTable418.xml><?xml version="1.0" encoding="utf-8"?>
<queryTable xmlns="http://schemas.openxmlformats.org/spreadsheetml/2006/main" name="ExternalData271_1" headers="0" preserveFormatting="0" adjustColumnWidth="0" connectionId="408" autoFormatId="0" applyNumberFormats="0" applyBorderFormats="0" applyFontFormats="0" applyPatternFormats="0" applyAlignmentFormats="0" applyWidthHeightFormats="1"/>
</file>

<file path=xl/queryTables/queryTable419.xml><?xml version="1.0" encoding="utf-8"?>
<queryTable xmlns="http://schemas.openxmlformats.org/spreadsheetml/2006/main" name="ExternalData_16" headers="0" connectionId="52" autoFormatId="0" applyNumberFormats="0" applyBorderFormats="0" applyFontFormats="0" applyPatternFormats="0" applyAlignmentFormats="0" applyWidthHeightFormats="1"/>
</file>

<file path=xl/queryTables/queryTable420.xml><?xml version="1.0" encoding="utf-8"?>
<queryTable xmlns="http://schemas.openxmlformats.org/spreadsheetml/2006/main" name="ExternalData_143" connectionId="246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ExternalData_133" headers="0" connectionId="195" autoFormatId="0" applyNumberFormats="0" applyBorderFormats="0" applyFontFormats="0" applyPatternFormats="0" applyAlignmentFormats="0" applyWidthHeightFormats="1"/>
</file>

<file path=xl/queryTables/queryTable422.xml><?xml version="1.0" encoding="utf-8"?>
<queryTable xmlns="http://schemas.openxmlformats.org/spreadsheetml/2006/main" name="ExternalData_152" headers="0" connectionId="197" autoFormatId="0" applyNumberFormats="0" applyBorderFormats="0" applyFontFormats="0" applyPatternFormats="0" applyAlignmentFormats="0" applyWidthHeightFormats="1"/>
</file>

<file path=xl/queryTables/queryTable423.xml><?xml version="1.0" encoding="utf-8"?>
<queryTable xmlns="http://schemas.openxmlformats.org/spreadsheetml/2006/main" name="ExternalData252_1" headers="0" preserveFormatting="0" adjustColumnWidth="0" connectionId="449" autoFormatId="0" applyNumberFormats="0" applyBorderFormats="0" applyFontFormats="0" applyPatternFormats="0" applyAlignmentFormats="0" applyWidthHeightFormats="1"/>
</file>

<file path=xl/queryTables/queryTable424.xml><?xml version="1.0" encoding="utf-8"?>
<queryTable xmlns="http://schemas.openxmlformats.org/spreadsheetml/2006/main" name="ExternalData265_1" headers="0" preserveFormatting="0" adjustColumnWidth="0" connectionId="421" autoFormatId="0" applyNumberFormats="0" applyBorderFormats="0" applyFontFormats="0" applyPatternFormats="0" applyAlignmentFormats="0" applyWidthHeightFormats="1"/>
</file>

<file path=xl/queryTables/queryTable425.xml><?xml version="1.0" encoding="utf-8"?>
<queryTable xmlns="http://schemas.openxmlformats.org/spreadsheetml/2006/main" name="ExternalData266_1" headers="0" preserveFormatting="0" adjustColumnWidth="0" connectionId="419" autoFormatId="0" applyNumberFormats="0" applyBorderFormats="0" applyFontFormats="0" applyPatternFormats="0" applyAlignmentFormats="0" applyWidthHeightFormats="1"/>
</file>

<file path=xl/queryTables/queryTable426.xml><?xml version="1.0" encoding="utf-8"?>
<queryTable xmlns="http://schemas.openxmlformats.org/spreadsheetml/2006/main" name="ExternalData237_1" headers="0" preserveFormatting="0" adjustColumnWidth="0" connectionId="37" autoFormatId="0" applyNumberFormats="0" applyBorderFormats="0" applyFontFormats="0" applyPatternFormats="0" applyAlignmentFormats="0" applyWidthHeightFormats="1"/>
</file>

<file path=xl/queryTables/queryTable427.xml><?xml version="1.0" encoding="utf-8"?>
<queryTable xmlns="http://schemas.openxmlformats.org/spreadsheetml/2006/main" name="ExternalData_125" headers="0" connectionId="155" autoFormatId="0" applyNumberFormats="0" applyBorderFormats="0" applyFontFormats="0" applyPatternFormats="0" applyAlignmentFormats="0" applyWidthHeightFormats="1"/>
</file>

<file path=xl/queryTables/queryTable428.xml><?xml version="1.0" encoding="utf-8"?>
<queryTable xmlns="http://schemas.openxmlformats.org/spreadsheetml/2006/main" name="ExternalData19_1" headers="0" preserveFormatting="0" adjustColumnWidth="0" connectionId="97" autoFormatId="0" applyNumberFormats="0" applyBorderFormats="0" applyFontFormats="0" applyPatternFormats="0" applyAlignmentFormats="0" applyWidthHeightFormats="1"/>
</file>

<file path=xl/queryTables/queryTable429.xml><?xml version="1.0" encoding="utf-8"?>
<queryTable xmlns="http://schemas.openxmlformats.org/spreadsheetml/2006/main" name="ExternalData51_1" headers="0" preserveFormatting="0" adjustColumnWidth="0" connectionId="315" autoFormatId="0" applyNumberFormats="0" applyBorderFormats="0" applyFontFormats="0" applyPatternFormats="0" applyAlignmentFormats="0" applyWidthHeightFormats="1"/>
</file>

<file path=xl/queryTables/queryTable430.xml><?xml version="1.0" encoding="utf-8"?>
<queryTable xmlns="http://schemas.openxmlformats.org/spreadsheetml/2006/main" name="ExternalData58_1" headers="0" preserveFormatting="0" adjustColumnWidth="0" connectionId="301" autoFormatId="0" applyNumberFormats="0" applyBorderFormats="0" applyFontFormats="0" applyPatternFormats="0" applyAlignmentFormats="0" applyWidthHeightFormats="1"/>
</file>

<file path=xl/queryTables/queryTable431.xml><?xml version="1.0" encoding="utf-8"?>
<queryTable xmlns="http://schemas.openxmlformats.org/spreadsheetml/2006/main" name="ExternalData_95" headers="0" connectionId="147" autoFormatId="0" applyNumberFormats="0" applyBorderFormats="0" applyFontFormats="0" applyPatternFormats="0" applyAlignmentFormats="0" applyWidthHeightFormats="1"/>
</file>

<file path=xl/queryTables/queryTable432.xml><?xml version="1.0" encoding="utf-8"?>
<queryTable xmlns="http://schemas.openxmlformats.org/spreadsheetml/2006/main" name="ExternalData_139" headers="0" connectionId="143" autoFormatId="0" applyNumberFormats="0" applyBorderFormats="0" applyFontFormats="0" applyPatternFormats="0" applyAlignmentFormats="0" applyWidthHeightFormats="1"/>
</file>

<file path=xl/queryTables/queryTable433.xml><?xml version="1.0" encoding="utf-8"?>
<queryTable xmlns="http://schemas.openxmlformats.org/spreadsheetml/2006/main" name="ExternalData70_1" headers="0" preserveFormatting="0" adjustColumnWidth="0" connectionId="206" autoFormatId="0" applyNumberFormats="0" applyBorderFormats="0" applyFontFormats="0" applyPatternFormats="0" applyAlignmentFormats="0" applyWidthHeightFormats="1"/>
</file>

<file path=xl/queryTables/queryTable434.xml><?xml version="1.0" encoding="utf-8"?>
<queryTable xmlns="http://schemas.openxmlformats.org/spreadsheetml/2006/main" name="ExternalData247_1" headers="0" preserveFormatting="0" adjustColumnWidth="0" connectionId="14" autoFormatId="0" applyNumberFormats="0" applyBorderFormats="0" applyFontFormats="0" applyPatternFormats="0" applyAlignmentFormats="0" applyWidthHeightFormats="1"/>
</file>

<file path=xl/queryTables/queryTable435.xml><?xml version="1.0" encoding="utf-8"?>
<queryTable xmlns="http://schemas.openxmlformats.org/spreadsheetml/2006/main" name="ExternalData18_1" headers="0" preserveFormatting="0" adjustColumnWidth="0" connectionId="94" autoFormatId="0" applyNumberFormats="0" applyBorderFormats="0" applyFontFormats="0" applyPatternFormats="0" applyAlignmentFormats="0" applyWidthHeightFormats="1"/>
</file>

<file path=xl/queryTables/queryTable436.xml><?xml version="1.0" encoding="utf-8"?>
<queryTable xmlns="http://schemas.openxmlformats.org/spreadsheetml/2006/main" name="ExternalData63_1" headers="0" preserveFormatting="0" adjustColumnWidth="0" connectionId="289" autoFormatId="0" applyNumberFormats="0" applyBorderFormats="0" applyFontFormats="0" applyPatternFormats="0" applyAlignmentFormats="0" applyWidthHeightFormats="1"/>
</file>

<file path=xl/queryTables/queryTable437.xml><?xml version="1.0" encoding="utf-8"?>
<queryTable xmlns="http://schemas.openxmlformats.org/spreadsheetml/2006/main" name="ExternalData_135" headers="0" connectionId="116" autoFormatId="0" applyNumberFormats="0" applyBorderFormats="0" applyFontFormats="0" applyPatternFormats="0" applyAlignmentFormats="0" applyWidthHeightFormats="1"/>
</file>

<file path=xl/queryTables/queryTable438.xml><?xml version="1.0" encoding="utf-8"?>
<queryTable xmlns="http://schemas.openxmlformats.org/spreadsheetml/2006/main" name="ExternalData_127" headers="0" connectionId="119" autoFormatId="0" applyNumberFormats="0" applyBorderFormats="0" applyFontFormats="0" applyPatternFormats="0" applyAlignmentFormats="0" applyWidthHeightFormats="1"/>
</file>

<file path=xl/queryTables/queryTable439.xml><?xml version="1.0" encoding="utf-8"?>
<queryTable xmlns="http://schemas.openxmlformats.org/spreadsheetml/2006/main" name="ExternalData_144" headers="0" connectionId="410" autoFormatId="0" applyNumberFormats="0" applyBorderFormats="0" applyFontFormats="0" applyPatternFormats="0" applyAlignmentFormats="0" applyWidthHeightFormats="1"/>
</file>

<file path=xl/queryTables/queryTable440.xml><?xml version="1.0" encoding="utf-8"?>
<queryTable xmlns="http://schemas.openxmlformats.org/spreadsheetml/2006/main" name="ExternalData_142" headers="0" connectionId="129" autoFormatId="0" applyNumberFormats="0" applyBorderFormats="0" applyFontFormats="0" applyPatternFormats="0" applyAlignmentFormats="0" applyWidthHeightFormats="1"/>
</file>

<file path=xl/queryTables/queryTable441.xml><?xml version="1.0" encoding="utf-8"?>
<queryTable xmlns="http://schemas.openxmlformats.org/spreadsheetml/2006/main" name="ExternalData244_1" headers="0" preserveFormatting="0" adjustColumnWidth="0" connectionId="20" autoFormatId="0" applyNumberFormats="0" applyBorderFormats="0" applyFontFormats="0" applyPatternFormats="0" applyAlignmentFormats="0" applyWidthHeightFormats="1"/>
</file>

<file path=xl/queryTables/queryTable442.xml><?xml version="1.0" encoding="utf-8"?>
<queryTable xmlns="http://schemas.openxmlformats.org/spreadsheetml/2006/main" name="ExternalData255_1" headers="0" preserveFormatting="0" adjustColumnWidth="0" connectionId="443" autoFormatId="0" applyNumberFormats="0" applyBorderFormats="0" applyFontFormats="0" applyPatternFormats="0" applyAlignmentFormats="0" applyWidthHeightFormats="1"/>
</file>

<file path=xl/queryTables/queryTable443.xml><?xml version="1.0" encoding="utf-8"?>
<queryTable xmlns="http://schemas.openxmlformats.org/spreadsheetml/2006/main" name="ExternalData1_1" headers="0" preserveFormatting="0" adjustColumnWidth="0" connectionId="371" autoFormatId="0" applyNumberFormats="0" applyBorderFormats="0" applyFontFormats="0" applyPatternFormats="0" applyAlignmentFormats="0" applyWidthHeightFormats="1"/>
</file>

<file path=xl/queryTables/queryTable444.xml><?xml version="1.0" encoding="utf-8"?>
<queryTable xmlns="http://schemas.openxmlformats.org/spreadsheetml/2006/main" name="ExternalData66_1" headers="0" preserveFormatting="0" adjustColumnWidth="0" connectionId="275" autoFormatId="0" applyNumberFormats="0" applyBorderFormats="0" applyFontFormats="0" applyPatternFormats="0" applyAlignmentFormats="0" applyWidthHeightFormats="1"/>
</file>

<file path=xl/queryTables/queryTable445.xml><?xml version="1.0" encoding="utf-8"?>
<queryTable xmlns="http://schemas.openxmlformats.org/spreadsheetml/2006/main" name="ExternalData10_1" headers="0" preserveFormatting="0" adjustColumnWidth="0" connectionId="72" autoFormatId="0" applyNumberFormats="0" applyBorderFormats="0" applyFontFormats="0" applyPatternFormats="0" applyAlignmentFormats="0" applyWidthHeightFormats="1"/>
</file>

<file path=xl/queryTables/queryTable446.xml><?xml version="1.0" encoding="utf-8"?>
<queryTable xmlns="http://schemas.openxmlformats.org/spreadsheetml/2006/main" name="ExternalData14_1" headers="0" preserveFormatting="0" adjustColumnWidth="0" connectionId="85" autoFormatId="0" applyNumberFormats="0" applyBorderFormats="0" applyFontFormats="0" applyPatternFormats="0" applyAlignmentFormats="0" applyWidthHeightFormats="1"/>
</file>

<file path=xl/queryTables/queryTable447.xml><?xml version="1.0" encoding="utf-8"?>
<queryTable xmlns="http://schemas.openxmlformats.org/spreadsheetml/2006/main" name="ExternalData40_1" headers="0" preserveFormatting="0" adjustColumnWidth="0" connectionId="339" autoFormatId="0" applyNumberFormats="0" applyBorderFormats="0" applyFontFormats="0" applyPatternFormats="0" applyAlignmentFormats="0" applyWidthHeightFormats="1"/>
</file>

<file path=xl/queryTables/queryTable448.xml><?xml version="1.0" encoding="utf-8"?>
<queryTable xmlns="http://schemas.openxmlformats.org/spreadsheetml/2006/main" name="ExternalData_147" headers="0" connectionId="131" autoFormatId="0" applyNumberFormats="0" applyBorderFormats="0" applyFontFormats="0" applyPatternFormats="0" applyAlignmentFormats="0" applyWidthHeightFormats="1"/>
</file>

<file path=xl/queryTables/queryTable449.xml><?xml version="1.0" encoding="utf-8"?>
<queryTable xmlns="http://schemas.openxmlformats.org/spreadsheetml/2006/main" name="ExternalData_131" connectionId="25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3.xml"/><Relationship Id="rId21" Type="http://schemas.openxmlformats.org/officeDocument/2006/relationships/queryTable" Target="../queryTables/queryTable17.xml"/><Relationship Id="rId42" Type="http://schemas.openxmlformats.org/officeDocument/2006/relationships/queryTable" Target="../queryTables/queryTable38.xml"/><Relationship Id="rId63" Type="http://schemas.openxmlformats.org/officeDocument/2006/relationships/queryTable" Target="../queryTables/queryTable59.xml"/><Relationship Id="rId84" Type="http://schemas.openxmlformats.org/officeDocument/2006/relationships/queryTable" Target="../queryTables/queryTable80.xml"/><Relationship Id="rId138" Type="http://schemas.openxmlformats.org/officeDocument/2006/relationships/queryTable" Target="../queryTables/queryTable134.xml"/><Relationship Id="rId159" Type="http://schemas.openxmlformats.org/officeDocument/2006/relationships/queryTable" Target="../queryTables/queryTable155.xml"/><Relationship Id="rId170" Type="http://schemas.openxmlformats.org/officeDocument/2006/relationships/queryTable" Target="../queryTables/queryTable166.xml"/><Relationship Id="rId191" Type="http://schemas.openxmlformats.org/officeDocument/2006/relationships/queryTable" Target="../queryTables/queryTable187.xml"/><Relationship Id="rId205" Type="http://schemas.openxmlformats.org/officeDocument/2006/relationships/queryTable" Target="../queryTables/queryTable201.xml"/><Relationship Id="rId226" Type="http://schemas.openxmlformats.org/officeDocument/2006/relationships/queryTable" Target="../queryTables/queryTable222.xml"/><Relationship Id="rId107" Type="http://schemas.openxmlformats.org/officeDocument/2006/relationships/queryTable" Target="../queryTables/queryTable103.xml"/><Relationship Id="rId11" Type="http://schemas.openxmlformats.org/officeDocument/2006/relationships/queryTable" Target="../queryTables/queryTable7.xml"/><Relationship Id="rId32" Type="http://schemas.openxmlformats.org/officeDocument/2006/relationships/queryTable" Target="../queryTables/queryTable28.xml"/><Relationship Id="rId53" Type="http://schemas.openxmlformats.org/officeDocument/2006/relationships/queryTable" Target="../queryTables/queryTable49.xml"/><Relationship Id="rId74" Type="http://schemas.openxmlformats.org/officeDocument/2006/relationships/queryTable" Target="../queryTables/queryTable70.xml"/><Relationship Id="rId128" Type="http://schemas.openxmlformats.org/officeDocument/2006/relationships/queryTable" Target="../queryTables/queryTable124.xml"/><Relationship Id="rId149" Type="http://schemas.openxmlformats.org/officeDocument/2006/relationships/queryTable" Target="../queryTables/queryTable145.xml"/><Relationship Id="rId5" Type="http://schemas.openxmlformats.org/officeDocument/2006/relationships/queryTable" Target="../queryTables/queryTable1.xml"/><Relationship Id="rId95" Type="http://schemas.openxmlformats.org/officeDocument/2006/relationships/queryTable" Target="../queryTables/queryTable91.xml"/><Relationship Id="rId160" Type="http://schemas.openxmlformats.org/officeDocument/2006/relationships/queryTable" Target="../queryTables/queryTable156.xml"/><Relationship Id="rId181" Type="http://schemas.openxmlformats.org/officeDocument/2006/relationships/queryTable" Target="../queryTables/queryTable177.xml"/><Relationship Id="rId216" Type="http://schemas.openxmlformats.org/officeDocument/2006/relationships/queryTable" Target="../queryTables/queryTable212.xml"/><Relationship Id="rId237" Type="http://schemas.openxmlformats.org/officeDocument/2006/relationships/queryTable" Target="../queryTables/queryTable233.xml"/><Relationship Id="rId22" Type="http://schemas.openxmlformats.org/officeDocument/2006/relationships/queryTable" Target="../queryTables/queryTable18.xml"/><Relationship Id="rId43" Type="http://schemas.openxmlformats.org/officeDocument/2006/relationships/queryTable" Target="../queryTables/queryTable39.xml"/><Relationship Id="rId64" Type="http://schemas.openxmlformats.org/officeDocument/2006/relationships/queryTable" Target="../queryTables/queryTable60.xml"/><Relationship Id="rId118" Type="http://schemas.openxmlformats.org/officeDocument/2006/relationships/queryTable" Target="../queryTables/queryTable114.xml"/><Relationship Id="rId139" Type="http://schemas.openxmlformats.org/officeDocument/2006/relationships/queryTable" Target="../queryTables/queryTable135.xml"/><Relationship Id="rId80" Type="http://schemas.openxmlformats.org/officeDocument/2006/relationships/queryTable" Target="../queryTables/queryTable76.xml"/><Relationship Id="rId85" Type="http://schemas.openxmlformats.org/officeDocument/2006/relationships/queryTable" Target="../queryTables/queryTable81.xml"/><Relationship Id="rId150" Type="http://schemas.openxmlformats.org/officeDocument/2006/relationships/queryTable" Target="../queryTables/queryTable146.xml"/><Relationship Id="rId155" Type="http://schemas.openxmlformats.org/officeDocument/2006/relationships/queryTable" Target="../queryTables/queryTable151.xml"/><Relationship Id="rId171" Type="http://schemas.openxmlformats.org/officeDocument/2006/relationships/queryTable" Target="../queryTables/queryTable167.xml"/><Relationship Id="rId176" Type="http://schemas.openxmlformats.org/officeDocument/2006/relationships/queryTable" Target="../queryTables/queryTable172.xml"/><Relationship Id="rId192" Type="http://schemas.openxmlformats.org/officeDocument/2006/relationships/queryTable" Target="../queryTables/queryTable188.xml"/><Relationship Id="rId197" Type="http://schemas.openxmlformats.org/officeDocument/2006/relationships/queryTable" Target="../queryTables/queryTable193.xml"/><Relationship Id="rId206" Type="http://schemas.openxmlformats.org/officeDocument/2006/relationships/queryTable" Target="../queryTables/queryTable202.xml"/><Relationship Id="rId227" Type="http://schemas.openxmlformats.org/officeDocument/2006/relationships/queryTable" Target="../queryTables/queryTable223.xml"/><Relationship Id="rId201" Type="http://schemas.openxmlformats.org/officeDocument/2006/relationships/queryTable" Target="../queryTables/queryTable197.xml"/><Relationship Id="rId222" Type="http://schemas.openxmlformats.org/officeDocument/2006/relationships/queryTable" Target="../queryTables/queryTable218.xml"/><Relationship Id="rId12" Type="http://schemas.openxmlformats.org/officeDocument/2006/relationships/queryTable" Target="../queryTables/queryTable8.xml"/><Relationship Id="rId17" Type="http://schemas.openxmlformats.org/officeDocument/2006/relationships/queryTable" Target="../queryTables/queryTable13.xml"/><Relationship Id="rId33" Type="http://schemas.openxmlformats.org/officeDocument/2006/relationships/queryTable" Target="../queryTables/queryTable29.xml"/><Relationship Id="rId38" Type="http://schemas.openxmlformats.org/officeDocument/2006/relationships/queryTable" Target="../queryTables/queryTable34.xml"/><Relationship Id="rId59" Type="http://schemas.openxmlformats.org/officeDocument/2006/relationships/queryTable" Target="../queryTables/queryTable55.xml"/><Relationship Id="rId103" Type="http://schemas.openxmlformats.org/officeDocument/2006/relationships/queryTable" Target="../queryTables/queryTable99.xml"/><Relationship Id="rId108" Type="http://schemas.openxmlformats.org/officeDocument/2006/relationships/queryTable" Target="../queryTables/queryTable104.xml"/><Relationship Id="rId124" Type="http://schemas.openxmlformats.org/officeDocument/2006/relationships/queryTable" Target="../queryTables/queryTable120.xml"/><Relationship Id="rId129" Type="http://schemas.openxmlformats.org/officeDocument/2006/relationships/queryTable" Target="../queryTables/queryTable125.xml"/><Relationship Id="rId54" Type="http://schemas.openxmlformats.org/officeDocument/2006/relationships/queryTable" Target="../queryTables/queryTable50.xml"/><Relationship Id="rId70" Type="http://schemas.openxmlformats.org/officeDocument/2006/relationships/queryTable" Target="../queryTables/queryTable66.xml"/><Relationship Id="rId75" Type="http://schemas.openxmlformats.org/officeDocument/2006/relationships/queryTable" Target="../queryTables/queryTable71.xml"/><Relationship Id="rId91" Type="http://schemas.openxmlformats.org/officeDocument/2006/relationships/queryTable" Target="../queryTables/queryTable87.xml"/><Relationship Id="rId96" Type="http://schemas.openxmlformats.org/officeDocument/2006/relationships/queryTable" Target="../queryTables/queryTable92.xml"/><Relationship Id="rId140" Type="http://schemas.openxmlformats.org/officeDocument/2006/relationships/queryTable" Target="../queryTables/queryTable136.xml"/><Relationship Id="rId145" Type="http://schemas.openxmlformats.org/officeDocument/2006/relationships/queryTable" Target="../queryTables/queryTable141.xml"/><Relationship Id="rId161" Type="http://schemas.openxmlformats.org/officeDocument/2006/relationships/queryTable" Target="../queryTables/queryTable157.xml"/><Relationship Id="rId166" Type="http://schemas.openxmlformats.org/officeDocument/2006/relationships/queryTable" Target="../queryTables/queryTable162.xml"/><Relationship Id="rId182" Type="http://schemas.openxmlformats.org/officeDocument/2006/relationships/queryTable" Target="../queryTables/queryTable178.xml"/><Relationship Id="rId187" Type="http://schemas.openxmlformats.org/officeDocument/2006/relationships/queryTable" Target="../queryTables/queryTable183.xml"/><Relationship Id="rId217" Type="http://schemas.openxmlformats.org/officeDocument/2006/relationships/queryTable" Target="../queryTables/queryTable213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212" Type="http://schemas.openxmlformats.org/officeDocument/2006/relationships/queryTable" Target="../queryTables/queryTable208.xml"/><Relationship Id="rId233" Type="http://schemas.openxmlformats.org/officeDocument/2006/relationships/queryTable" Target="../queryTables/queryTable229.xml"/><Relationship Id="rId238" Type="http://schemas.openxmlformats.org/officeDocument/2006/relationships/queryTable" Target="../queryTables/queryTable234.xml"/><Relationship Id="rId23" Type="http://schemas.openxmlformats.org/officeDocument/2006/relationships/queryTable" Target="../queryTables/queryTable19.xml"/><Relationship Id="rId28" Type="http://schemas.openxmlformats.org/officeDocument/2006/relationships/queryTable" Target="../queryTables/queryTable24.xml"/><Relationship Id="rId49" Type="http://schemas.openxmlformats.org/officeDocument/2006/relationships/queryTable" Target="../queryTables/queryTable45.xml"/><Relationship Id="rId114" Type="http://schemas.openxmlformats.org/officeDocument/2006/relationships/queryTable" Target="../queryTables/queryTable110.xml"/><Relationship Id="rId119" Type="http://schemas.openxmlformats.org/officeDocument/2006/relationships/queryTable" Target="../queryTables/queryTable115.xml"/><Relationship Id="rId44" Type="http://schemas.openxmlformats.org/officeDocument/2006/relationships/queryTable" Target="../queryTables/queryTable40.xml"/><Relationship Id="rId60" Type="http://schemas.openxmlformats.org/officeDocument/2006/relationships/queryTable" Target="../queryTables/queryTable56.xml"/><Relationship Id="rId65" Type="http://schemas.openxmlformats.org/officeDocument/2006/relationships/queryTable" Target="../queryTables/queryTable61.xml"/><Relationship Id="rId81" Type="http://schemas.openxmlformats.org/officeDocument/2006/relationships/queryTable" Target="../queryTables/queryTable77.xml"/><Relationship Id="rId86" Type="http://schemas.openxmlformats.org/officeDocument/2006/relationships/queryTable" Target="../queryTables/queryTable82.xml"/><Relationship Id="rId130" Type="http://schemas.openxmlformats.org/officeDocument/2006/relationships/queryTable" Target="../queryTables/queryTable126.xml"/><Relationship Id="rId135" Type="http://schemas.openxmlformats.org/officeDocument/2006/relationships/queryTable" Target="../queryTables/queryTable131.xml"/><Relationship Id="rId151" Type="http://schemas.openxmlformats.org/officeDocument/2006/relationships/queryTable" Target="../queryTables/queryTable147.xml"/><Relationship Id="rId156" Type="http://schemas.openxmlformats.org/officeDocument/2006/relationships/queryTable" Target="../queryTables/queryTable152.xml"/><Relationship Id="rId177" Type="http://schemas.openxmlformats.org/officeDocument/2006/relationships/queryTable" Target="../queryTables/queryTable173.xml"/><Relationship Id="rId198" Type="http://schemas.openxmlformats.org/officeDocument/2006/relationships/queryTable" Target="../queryTables/queryTable194.xml"/><Relationship Id="rId172" Type="http://schemas.openxmlformats.org/officeDocument/2006/relationships/queryTable" Target="../queryTables/queryTable168.xml"/><Relationship Id="rId193" Type="http://schemas.openxmlformats.org/officeDocument/2006/relationships/queryTable" Target="../queryTables/queryTable189.xml"/><Relationship Id="rId202" Type="http://schemas.openxmlformats.org/officeDocument/2006/relationships/queryTable" Target="../queryTables/queryTable198.xml"/><Relationship Id="rId207" Type="http://schemas.openxmlformats.org/officeDocument/2006/relationships/queryTable" Target="../queryTables/queryTable203.xml"/><Relationship Id="rId223" Type="http://schemas.openxmlformats.org/officeDocument/2006/relationships/queryTable" Target="../queryTables/queryTable219.xml"/><Relationship Id="rId228" Type="http://schemas.openxmlformats.org/officeDocument/2006/relationships/queryTable" Target="../queryTables/queryTable224.xml"/><Relationship Id="rId13" Type="http://schemas.openxmlformats.org/officeDocument/2006/relationships/queryTable" Target="../queryTables/queryTable9.xml"/><Relationship Id="rId18" Type="http://schemas.openxmlformats.org/officeDocument/2006/relationships/queryTable" Target="../queryTables/queryTable14.xml"/><Relationship Id="rId39" Type="http://schemas.openxmlformats.org/officeDocument/2006/relationships/queryTable" Target="../queryTables/queryTable35.xml"/><Relationship Id="rId109" Type="http://schemas.openxmlformats.org/officeDocument/2006/relationships/queryTable" Target="../queryTables/queryTable105.xml"/><Relationship Id="rId34" Type="http://schemas.openxmlformats.org/officeDocument/2006/relationships/queryTable" Target="../queryTables/queryTable30.xml"/><Relationship Id="rId50" Type="http://schemas.openxmlformats.org/officeDocument/2006/relationships/queryTable" Target="../queryTables/queryTable46.xml"/><Relationship Id="rId55" Type="http://schemas.openxmlformats.org/officeDocument/2006/relationships/queryTable" Target="../queryTables/queryTable51.xml"/><Relationship Id="rId76" Type="http://schemas.openxmlformats.org/officeDocument/2006/relationships/queryTable" Target="../queryTables/queryTable72.xml"/><Relationship Id="rId97" Type="http://schemas.openxmlformats.org/officeDocument/2006/relationships/queryTable" Target="../queryTables/queryTable93.xml"/><Relationship Id="rId104" Type="http://schemas.openxmlformats.org/officeDocument/2006/relationships/queryTable" Target="../queryTables/queryTable100.xml"/><Relationship Id="rId120" Type="http://schemas.openxmlformats.org/officeDocument/2006/relationships/queryTable" Target="../queryTables/queryTable116.xml"/><Relationship Id="rId125" Type="http://schemas.openxmlformats.org/officeDocument/2006/relationships/queryTable" Target="../queryTables/queryTable121.xml"/><Relationship Id="rId141" Type="http://schemas.openxmlformats.org/officeDocument/2006/relationships/queryTable" Target="../queryTables/queryTable137.xml"/><Relationship Id="rId146" Type="http://schemas.openxmlformats.org/officeDocument/2006/relationships/queryTable" Target="../queryTables/queryTable142.xml"/><Relationship Id="rId167" Type="http://schemas.openxmlformats.org/officeDocument/2006/relationships/queryTable" Target="../queryTables/queryTable163.xml"/><Relationship Id="rId188" Type="http://schemas.openxmlformats.org/officeDocument/2006/relationships/queryTable" Target="../queryTables/queryTable184.xml"/><Relationship Id="rId7" Type="http://schemas.openxmlformats.org/officeDocument/2006/relationships/queryTable" Target="../queryTables/queryTable3.xml"/><Relationship Id="rId71" Type="http://schemas.openxmlformats.org/officeDocument/2006/relationships/queryTable" Target="../queryTables/queryTable67.xml"/><Relationship Id="rId92" Type="http://schemas.openxmlformats.org/officeDocument/2006/relationships/queryTable" Target="../queryTables/queryTable88.xml"/><Relationship Id="rId162" Type="http://schemas.openxmlformats.org/officeDocument/2006/relationships/queryTable" Target="../queryTables/queryTable158.xml"/><Relationship Id="rId183" Type="http://schemas.openxmlformats.org/officeDocument/2006/relationships/queryTable" Target="../queryTables/queryTable179.xml"/><Relationship Id="rId213" Type="http://schemas.openxmlformats.org/officeDocument/2006/relationships/queryTable" Target="../queryTables/queryTable209.xml"/><Relationship Id="rId218" Type="http://schemas.openxmlformats.org/officeDocument/2006/relationships/queryTable" Target="../queryTables/queryTable214.xml"/><Relationship Id="rId234" Type="http://schemas.openxmlformats.org/officeDocument/2006/relationships/queryTable" Target="../queryTables/queryTable230.xml"/><Relationship Id="rId239" Type="http://schemas.openxmlformats.org/officeDocument/2006/relationships/queryTable" Target="../queryTables/queryTable235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25.xml"/><Relationship Id="rId24" Type="http://schemas.openxmlformats.org/officeDocument/2006/relationships/queryTable" Target="../queryTables/queryTable20.xml"/><Relationship Id="rId40" Type="http://schemas.openxmlformats.org/officeDocument/2006/relationships/queryTable" Target="../queryTables/queryTable36.xml"/><Relationship Id="rId45" Type="http://schemas.openxmlformats.org/officeDocument/2006/relationships/queryTable" Target="../queryTables/queryTable41.xml"/><Relationship Id="rId66" Type="http://schemas.openxmlformats.org/officeDocument/2006/relationships/queryTable" Target="../queryTables/queryTable62.xml"/><Relationship Id="rId87" Type="http://schemas.openxmlformats.org/officeDocument/2006/relationships/queryTable" Target="../queryTables/queryTable83.xml"/><Relationship Id="rId110" Type="http://schemas.openxmlformats.org/officeDocument/2006/relationships/queryTable" Target="../queryTables/queryTable106.xml"/><Relationship Id="rId115" Type="http://schemas.openxmlformats.org/officeDocument/2006/relationships/queryTable" Target="../queryTables/queryTable111.xml"/><Relationship Id="rId131" Type="http://schemas.openxmlformats.org/officeDocument/2006/relationships/queryTable" Target="../queryTables/queryTable127.xml"/><Relationship Id="rId136" Type="http://schemas.openxmlformats.org/officeDocument/2006/relationships/queryTable" Target="../queryTables/queryTable132.xml"/><Relationship Id="rId157" Type="http://schemas.openxmlformats.org/officeDocument/2006/relationships/queryTable" Target="../queryTables/queryTable153.xml"/><Relationship Id="rId178" Type="http://schemas.openxmlformats.org/officeDocument/2006/relationships/queryTable" Target="../queryTables/queryTable174.xml"/><Relationship Id="rId61" Type="http://schemas.openxmlformats.org/officeDocument/2006/relationships/queryTable" Target="../queryTables/queryTable57.xml"/><Relationship Id="rId82" Type="http://schemas.openxmlformats.org/officeDocument/2006/relationships/queryTable" Target="../queryTables/queryTable78.xml"/><Relationship Id="rId152" Type="http://schemas.openxmlformats.org/officeDocument/2006/relationships/queryTable" Target="../queryTables/queryTable148.xml"/><Relationship Id="rId173" Type="http://schemas.openxmlformats.org/officeDocument/2006/relationships/queryTable" Target="../queryTables/queryTable169.xml"/><Relationship Id="rId194" Type="http://schemas.openxmlformats.org/officeDocument/2006/relationships/queryTable" Target="../queryTables/queryTable190.xml"/><Relationship Id="rId199" Type="http://schemas.openxmlformats.org/officeDocument/2006/relationships/queryTable" Target="../queryTables/queryTable195.xml"/><Relationship Id="rId203" Type="http://schemas.openxmlformats.org/officeDocument/2006/relationships/queryTable" Target="../queryTables/queryTable199.xml"/><Relationship Id="rId208" Type="http://schemas.openxmlformats.org/officeDocument/2006/relationships/queryTable" Target="../queryTables/queryTable204.xml"/><Relationship Id="rId229" Type="http://schemas.openxmlformats.org/officeDocument/2006/relationships/queryTable" Target="../queryTables/queryTable225.xml"/><Relationship Id="rId19" Type="http://schemas.openxmlformats.org/officeDocument/2006/relationships/queryTable" Target="../queryTables/queryTable15.xml"/><Relationship Id="rId224" Type="http://schemas.openxmlformats.org/officeDocument/2006/relationships/queryTable" Target="../queryTables/queryTable220.xml"/><Relationship Id="rId14" Type="http://schemas.openxmlformats.org/officeDocument/2006/relationships/queryTable" Target="../queryTables/queryTable10.xml"/><Relationship Id="rId30" Type="http://schemas.openxmlformats.org/officeDocument/2006/relationships/queryTable" Target="../queryTables/queryTable26.xml"/><Relationship Id="rId35" Type="http://schemas.openxmlformats.org/officeDocument/2006/relationships/queryTable" Target="../queryTables/queryTable31.xml"/><Relationship Id="rId56" Type="http://schemas.openxmlformats.org/officeDocument/2006/relationships/queryTable" Target="../queryTables/queryTable52.xml"/><Relationship Id="rId77" Type="http://schemas.openxmlformats.org/officeDocument/2006/relationships/queryTable" Target="../queryTables/queryTable73.xml"/><Relationship Id="rId100" Type="http://schemas.openxmlformats.org/officeDocument/2006/relationships/queryTable" Target="../queryTables/queryTable96.xml"/><Relationship Id="rId105" Type="http://schemas.openxmlformats.org/officeDocument/2006/relationships/queryTable" Target="../queryTables/queryTable101.xml"/><Relationship Id="rId126" Type="http://schemas.openxmlformats.org/officeDocument/2006/relationships/queryTable" Target="../queryTables/queryTable122.xml"/><Relationship Id="rId147" Type="http://schemas.openxmlformats.org/officeDocument/2006/relationships/queryTable" Target="../queryTables/queryTable143.xml"/><Relationship Id="rId168" Type="http://schemas.openxmlformats.org/officeDocument/2006/relationships/queryTable" Target="../queryTables/queryTable164.xml"/><Relationship Id="rId8" Type="http://schemas.openxmlformats.org/officeDocument/2006/relationships/queryTable" Target="../queryTables/queryTable4.xml"/><Relationship Id="rId51" Type="http://schemas.openxmlformats.org/officeDocument/2006/relationships/queryTable" Target="../queryTables/queryTable47.xml"/><Relationship Id="rId72" Type="http://schemas.openxmlformats.org/officeDocument/2006/relationships/queryTable" Target="../queryTables/queryTable68.xml"/><Relationship Id="rId93" Type="http://schemas.openxmlformats.org/officeDocument/2006/relationships/queryTable" Target="../queryTables/queryTable89.xml"/><Relationship Id="rId98" Type="http://schemas.openxmlformats.org/officeDocument/2006/relationships/queryTable" Target="../queryTables/queryTable94.xml"/><Relationship Id="rId121" Type="http://schemas.openxmlformats.org/officeDocument/2006/relationships/queryTable" Target="../queryTables/queryTable117.xml"/><Relationship Id="rId142" Type="http://schemas.openxmlformats.org/officeDocument/2006/relationships/queryTable" Target="../queryTables/queryTable138.xml"/><Relationship Id="rId163" Type="http://schemas.openxmlformats.org/officeDocument/2006/relationships/queryTable" Target="../queryTables/queryTable159.xml"/><Relationship Id="rId184" Type="http://schemas.openxmlformats.org/officeDocument/2006/relationships/queryTable" Target="../queryTables/queryTable180.xml"/><Relationship Id="rId189" Type="http://schemas.openxmlformats.org/officeDocument/2006/relationships/queryTable" Target="../queryTables/queryTable185.xml"/><Relationship Id="rId219" Type="http://schemas.openxmlformats.org/officeDocument/2006/relationships/queryTable" Target="../queryTables/queryTable215.xml"/><Relationship Id="rId3" Type="http://schemas.openxmlformats.org/officeDocument/2006/relationships/vmlDrawing" Target="../drawings/vmlDrawing1.vml"/><Relationship Id="rId214" Type="http://schemas.openxmlformats.org/officeDocument/2006/relationships/queryTable" Target="../queryTables/queryTable210.xml"/><Relationship Id="rId230" Type="http://schemas.openxmlformats.org/officeDocument/2006/relationships/queryTable" Target="../queryTables/queryTable226.xml"/><Relationship Id="rId235" Type="http://schemas.openxmlformats.org/officeDocument/2006/relationships/queryTable" Target="../queryTables/queryTable231.xml"/><Relationship Id="rId25" Type="http://schemas.openxmlformats.org/officeDocument/2006/relationships/queryTable" Target="../queryTables/queryTable21.xml"/><Relationship Id="rId46" Type="http://schemas.openxmlformats.org/officeDocument/2006/relationships/queryTable" Target="../queryTables/queryTable42.xml"/><Relationship Id="rId67" Type="http://schemas.openxmlformats.org/officeDocument/2006/relationships/queryTable" Target="../queryTables/queryTable63.xml"/><Relationship Id="rId116" Type="http://schemas.openxmlformats.org/officeDocument/2006/relationships/queryTable" Target="../queryTables/queryTable112.xml"/><Relationship Id="rId137" Type="http://schemas.openxmlformats.org/officeDocument/2006/relationships/queryTable" Target="../queryTables/queryTable133.xml"/><Relationship Id="rId158" Type="http://schemas.openxmlformats.org/officeDocument/2006/relationships/queryTable" Target="../queryTables/queryTable154.xml"/><Relationship Id="rId20" Type="http://schemas.openxmlformats.org/officeDocument/2006/relationships/queryTable" Target="../queryTables/queryTable16.xml"/><Relationship Id="rId41" Type="http://schemas.openxmlformats.org/officeDocument/2006/relationships/queryTable" Target="../queryTables/queryTable37.xml"/><Relationship Id="rId62" Type="http://schemas.openxmlformats.org/officeDocument/2006/relationships/queryTable" Target="../queryTables/queryTable58.xml"/><Relationship Id="rId83" Type="http://schemas.openxmlformats.org/officeDocument/2006/relationships/queryTable" Target="../queryTables/queryTable79.xml"/><Relationship Id="rId88" Type="http://schemas.openxmlformats.org/officeDocument/2006/relationships/queryTable" Target="../queryTables/queryTable84.xml"/><Relationship Id="rId111" Type="http://schemas.openxmlformats.org/officeDocument/2006/relationships/queryTable" Target="../queryTables/queryTable107.xml"/><Relationship Id="rId132" Type="http://schemas.openxmlformats.org/officeDocument/2006/relationships/queryTable" Target="../queryTables/queryTable128.xml"/><Relationship Id="rId153" Type="http://schemas.openxmlformats.org/officeDocument/2006/relationships/queryTable" Target="../queryTables/queryTable149.xml"/><Relationship Id="rId174" Type="http://schemas.openxmlformats.org/officeDocument/2006/relationships/queryTable" Target="../queryTables/queryTable170.xml"/><Relationship Id="rId179" Type="http://schemas.openxmlformats.org/officeDocument/2006/relationships/queryTable" Target="../queryTables/queryTable175.xml"/><Relationship Id="rId195" Type="http://schemas.openxmlformats.org/officeDocument/2006/relationships/queryTable" Target="../queryTables/queryTable191.xml"/><Relationship Id="rId209" Type="http://schemas.openxmlformats.org/officeDocument/2006/relationships/queryTable" Target="../queryTables/queryTable205.xml"/><Relationship Id="rId190" Type="http://schemas.openxmlformats.org/officeDocument/2006/relationships/queryTable" Target="../queryTables/queryTable186.xml"/><Relationship Id="rId204" Type="http://schemas.openxmlformats.org/officeDocument/2006/relationships/queryTable" Target="../queryTables/queryTable200.xml"/><Relationship Id="rId220" Type="http://schemas.openxmlformats.org/officeDocument/2006/relationships/queryTable" Target="../queryTables/queryTable216.xml"/><Relationship Id="rId225" Type="http://schemas.openxmlformats.org/officeDocument/2006/relationships/queryTable" Target="../queryTables/queryTable221.xml"/><Relationship Id="rId15" Type="http://schemas.openxmlformats.org/officeDocument/2006/relationships/queryTable" Target="../queryTables/queryTable11.xml"/><Relationship Id="rId36" Type="http://schemas.openxmlformats.org/officeDocument/2006/relationships/queryTable" Target="../queryTables/queryTable32.xml"/><Relationship Id="rId57" Type="http://schemas.openxmlformats.org/officeDocument/2006/relationships/queryTable" Target="../queryTables/queryTable53.xml"/><Relationship Id="rId106" Type="http://schemas.openxmlformats.org/officeDocument/2006/relationships/queryTable" Target="../queryTables/queryTable102.xml"/><Relationship Id="rId127" Type="http://schemas.openxmlformats.org/officeDocument/2006/relationships/queryTable" Target="../queryTables/queryTable123.xml"/><Relationship Id="rId10" Type="http://schemas.openxmlformats.org/officeDocument/2006/relationships/queryTable" Target="../queryTables/queryTable6.xml"/><Relationship Id="rId31" Type="http://schemas.openxmlformats.org/officeDocument/2006/relationships/queryTable" Target="../queryTables/queryTable27.xml"/><Relationship Id="rId52" Type="http://schemas.openxmlformats.org/officeDocument/2006/relationships/queryTable" Target="../queryTables/queryTable48.xml"/><Relationship Id="rId73" Type="http://schemas.openxmlformats.org/officeDocument/2006/relationships/queryTable" Target="../queryTables/queryTable69.xml"/><Relationship Id="rId78" Type="http://schemas.openxmlformats.org/officeDocument/2006/relationships/queryTable" Target="../queryTables/queryTable74.xml"/><Relationship Id="rId94" Type="http://schemas.openxmlformats.org/officeDocument/2006/relationships/queryTable" Target="../queryTables/queryTable90.xml"/><Relationship Id="rId99" Type="http://schemas.openxmlformats.org/officeDocument/2006/relationships/queryTable" Target="../queryTables/queryTable95.xml"/><Relationship Id="rId101" Type="http://schemas.openxmlformats.org/officeDocument/2006/relationships/queryTable" Target="../queryTables/queryTable97.xml"/><Relationship Id="rId122" Type="http://schemas.openxmlformats.org/officeDocument/2006/relationships/queryTable" Target="../queryTables/queryTable118.xml"/><Relationship Id="rId143" Type="http://schemas.openxmlformats.org/officeDocument/2006/relationships/queryTable" Target="../queryTables/queryTable139.xml"/><Relationship Id="rId148" Type="http://schemas.openxmlformats.org/officeDocument/2006/relationships/queryTable" Target="../queryTables/queryTable144.xml"/><Relationship Id="rId164" Type="http://schemas.openxmlformats.org/officeDocument/2006/relationships/queryTable" Target="../queryTables/queryTable160.xml"/><Relationship Id="rId169" Type="http://schemas.openxmlformats.org/officeDocument/2006/relationships/queryTable" Target="../queryTables/queryTable165.xml"/><Relationship Id="rId185" Type="http://schemas.openxmlformats.org/officeDocument/2006/relationships/queryTable" Target="../queryTables/queryTable181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Relationship Id="rId180" Type="http://schemas.openxmlformats.org/officeDocument/2006/relationships/queryTable" Target="../queryTables/queryTable176.xml"/><Relationship Id="rId210" Type="http://schemas.openxmlformats.org/officeDocument/2006/relationships/queryTable" Target="../queryTables/queryTable206.xml"/><Relationship Id="rId215" Type="http://schemas.openxmlformats.org/officeDocument/2006/relationships/queryTable" Target="../queryTables/queryTable211.xml"/><Relationship Id="rId236" Type="http://schemas.openxmlformats.org/officeDocument/2006/relationships/queryTable" Target="../queryTables/queryTable232.xml"/><Relationship Id="rId26" Type="http://schemas.openxmlformats.org/officeDocument/2006/relationships/queryTable" Target="../queryTables/queryTable22.xml"/><Relationship Id="rId231" Type="http://schemas.openxmlformats.org/officeDocument/2006/relationships/queryTable" Target="../queryTables/queryTable227.xml"/><Relationship Id="rId47" Type="http://schemas.openxmlformats.org/officeDocument/2006/relationships/queryTable" Target="../queryTables/queryTable43.xml"/><Relationship Id="rId68" Type="http://schemas.openxmlformats.org/officeDocument/2006/relationships/queryTable" Target="../queryTables/queryTable64.xml"/><Relationship Id="rId89" Type="http://schemas.openxmlformats.org/officeDocument/2006/relationships/queryTable" Target="../queryTables/queryTable85.xml"/><Relationship Id="rId112" Type="http://schemas.openxmlformats.org/officeDocument/2006/relationships/queryTable" Target="../queryTables/queryTable108.xml"/><Relationship Id="rId133" Type="http://schemas.openxmlformats.org/officeDocument/2006/relationships/queryTable" Target="../queryTables/queryTable129.xml"/><Relationship Id="rId154" Type="http://schemas.openxmlformats.org/officeDocument/2006/relationships/queryTable" Target="../queryTables/queryTable150.xml"/><Relationship Id="rId175" Type="http://schemas.openxmlformats.org/officeDocument/2006/relationships/queryTable" Target="../queryTables/queryTable171.xml"/><Relationship Id="rId196" Type="http://schemas.openxmlformats.org/officeDocument/2006/relationships/queryTable" Target="../queryTables/queryTable192.xml"/><Relationship Id="rId200" Type="http://schemas.openxmlformats.org/officeDocument/2006/relationships/queryTable" Target="../queryTables/queryTable196.xml"/><Relationship Id="rId16" Type="http://schemas.openxmlformats.org/officeDocument/2006/relationships/queryTable" Target="../queryTables/queryTable12.xml"/><Relationship Id="rId221" Type="http://schemas.openxmlformats.org/officeDocument/2006/relationships/queryTable" Target="../queryTables/queryTable217.xml"/><Relationship Id="rId37" Type="http://schemas.openxmlformats.org/officeDocument/2006/relationships/queryTable" Target="../queryTables/queryTable33.xml"/><Relationship Id="rId58" Type="http://schemas.openxmlformats.org/officeDocument/2006/relationships/queryTable" Target="../queryTables/queryTable54.xml"/><Relationship Id="rId79" Type="http://schemas.openxmlformats.org/officeDocument/2006/relationships/queryTable" Target="../queryTables/queryTable75.xml"/><Relationship Id="rId102" Type="http://schemas.openxmlformats.org/officeDocument/2006/relationships/queryTable" Target="../queryTables/queryTable98.xml"/><Relationship Id="rId123" Type="http://schemas.openxmlformats.org/officeDocument/2006/relationships/queryTable" Target="../queryTables/queryTable119.xml"/><Relationship Id="rId144" Type="http://schemas.openxmlformats.org/officeDocument/2006/relationships/queryTable" Target="../queryTables/queryTable140.xml"/><Relationship Id="rId90" Type="http://schemas.openxmlformats.org/officeDocument/2006/relationships/queryTable" Target="../queryTables/queryTable86.xml"/><Relationship Id="rId165" Type="http://schemas.openxmlformats.org/officeDocument/2006/relationships/queryTable" Target="../queryTables/queryTable161.xml"/><Relationship Id="rId186" Type="http://schemas.openxmlformats.org/officeDocument/2006/relationships/queryTable" Target="../queryTables/queryTable182.xml"/><Relationship Id="rId211" Type="http://schemas.openxmlformats.org/officeDocument/2006/relationships/queryTable" Target="../queryTables/queryTable207.xml"/><Relationship Id="rId232" Type="http://schemas.openxmlformats.org/officeDocument/2006/relationships/queryTable" Target="../queryTables/queryTable228.xml"/><Relationship Id="rId27" Type="http://schemas.openxmlformats.org/officeDocument/2006/relationships/queryTable" Target="../queryTables/queryTable23.xml"/><Relationship Id="rId48" Type="http://schemas.openxmlformats.org/officeDocument/2006/relationships/queryTable" Target="../queryTables/queryTable44.xml"/><Relationship Id="rId69" Type="http://schemas.openxmlformats.org/officeDocument/2006/relationships/queryTable" Target="../queryTables/queryTable65.xml"/><Relationship Id="rId113" Type="http://schemas.openxmlformats.org/officeDocument/2006/relationships/queryTable" Target="../queryTables/queryTable109.xml"/><Relationship Id="rId134" Type="http://schemas.openxmlformats.org/officeDocument/2006/relationships/queryTable" Target="../queryTables/queryTable13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52.xml"/><Relationship Id="rId21" Type="http://schemas.openxmlformats.org/officeDocument/2006/relationships/queryTable" Target="../queryTables/queryTable256.xml"/><Relationship Id="rId42" Type="http://schemas.openxmlformats.org/officeDocument/2006/relationships/queryTable" Target="../queryTables/queryTable277.xml"/><Relationship Id="rId63" Type="http://schemas.openxmlformats.org/officeDocument/2006/relationships/queryTable" Target="../queryTables/queryTable298.xml"/><Relationship Id="rId84" Type="http://schemas.openxmlformats.org/officeDocument/2006/relationships/queryTable" Target="../queryTables/queryTable319.xml"/><Relationship Id="rId138" Type="http://schemas.openxmlformats.org/officeDocument/2006/relationships/queryTable" Target="../queryTables/queryTable373.xml"/><Relationship Id="rId159" Type="http://schemas.openxmlformats.org/officeDocument/2006/relationships/queryTable" Target="../queryTables/queryTable394.xml"/><Relationship Id="rId170" Type="http://schemas.openxmlformats.org/officeDocument/2006/relationships/queryTable" Target="../queryTables/queryTable405.xml"/><Relationship Id="rId191" Type="http://schemas.openxmlformats.org/officeDocument/2006/relationships/queryTable" Target="../queryTables/queryTable426.xml"/><Relationship Id="rId205" Type="http://schemas.openxmlformats.org/officeDocument/2006/relationships/queryTable" Target="../queryTables/queryTable440.xml"/><Relationship Id="rId107" Type="http://schemas.openxmlformats.org/officeDocument/2006/relationships/queryTable" Target="../queryTables/queryTable342.xml"/><Relationship Id="rId11" Type="http://schemas.openxmlformats.org/officeDocument/2006/relationships/queryTable" Target="../queryTables/queryTable246.xml"/><Relationship Id="rId32" Type="http://schemas.openxmlformats.org/officeDocument/2006/relationships/queryTable" Target="../queryTables/queryTable267.xml"/><Relationship Id="rId37" Type="http://schemas.openxmlformats.org/officeDocument/2006/relationships/queryTable" Target="../queryTables/queryTable272.xml"/><Relationship Id="rId53" Type="http://schemas.openxmlformats.org/officeDocument/2006/relationships/queryTable" Target="../queryTables/queryTable288.xml"/><Relationship Id="rId58" Type="http://schemas.openxmlformats.org/officeDocument/2006/relationships/queryTable" Target="../queryTables/queryTable293.xml"/><Relationship Id="rId74" Type="http://schemas.openxmlformats.org/officeDocument/2006/relationships/queryTable" Target="../queryTables/queryTable309.xml"/><Relationship Id="rId79" Type="http://schemas.openxmlformats.org/officeDocument/2006/relationships/queryTable" Target="../queryTables/queryTable314.xml"/><Relationship Id="rId102" Type="http://schemas.openxmlformats.org/officeDocument/2006/relationships/queryTable" Target="../queryTables/queryTable337.xml"/><Relationship Id="rId123" Type="http://schemas.openxmlformats.org/officeDocument/2006/relationships/queryTable" Target="../queryTables/queryTable358.xml"/><Relationship Id="rId128" Type="http://schemas.openxmlformats.org/officeDocument/2006/relationships/queryTable" Target="../queryTables/queryTable363.xml"/><Relationship Id="rId144" Type="http://schemas.openxmlformats.org/officeDocument/2006/relationships/queryTable" Target="../queryTables/queryTable379.xml"/><Relationship Id="rId149" Type="http://schemas.openxmlformats.org/officeDocument/2006/relationships/queryTable" Target="../queryTables/queryTable384.xml"/><Relationship Id="rId5" Type="http://schemas.openxmlformats.org/officeDocument/2006/relationships/queryTable" Target="../queryTables/queryTable240.xml"/><Relationship Id="rId90" Type="http://schemas.openxmlformats.org/officeDocument/2006/relationships/queryTable" Target="../queryTables/queryTable325.xml"/><Relationship Id="rId95" Type="http://schemas.openxmlformats.org/officeDocument/2006/relationships/queryTable" Target="../queryTables/queryTable330.xml"/><Relationship Id="rId160" Type="http://schemas.openxmlformats.org/officeDocument/2006/relationships/queryTable" Target="../queryTables/queryTable395.xml"/><Relationship Id="rId165" Type="http://schemas.openxmlformats.org/officeDocument/2006/relationships/queryTable" Target="../queryTables/queryTable400.xml"/><Relationship Id="rId181" Type="http://schemas.openxmlformats.org/officeDocument/2006/relationships/queryTable" Target="../queryTables/queryTable416.xml"/><Relationship Id="rId186" Type="http://schemas.openxmlformats.org/officeDocument/2006/relationships/queryTable" Target="../queryTables/queryTable421.xml"/><Relationship Id="rId211" Type="http://schemas.openxmlformats.org/officeDocument/2006/relationships/queryTable" Target="../queryTables/queryTable446.xml"/><Relationship Id="rId22" Type="http://schemas.openxmlformats.org/officeDocument/2006/relationships/queryTable" Target="../queryTables/queryTable257.xml"/><Relationship Id="rId27" Type="http://schemas.openxmlformats.org/officeDocument/2006/relationships/queryTable" Target="../queryTables/queryTable262.xml"/><Relationship Id="rId43" Type="http://schemas.openxmlformats.org/officeDocument/2006/relationships/queryTable" Target="../queryTables/queryTable278.xml"/><Relationship Id="rId48" Type="http://schemas.openxmlformats.org/officeDocument/2006/relationships/queryTable" Target="../queryTables/queryTable283.xml"/><Relationship Id="rId64" Type="http://schemas.openxmlformats.org/officeDocument/2006/relationships/queryTable" Target="../queryTables/queryTable299.xml"/><Relationship Id="rId69" Type="http://schemas.openxmlformats.org/officeDocument/2006/relationships/queryTable" Target="../queryTables/queryTable304.xml"/><Relationship Id="rId113" Type="http://schemas.openxmlformats.org/officeDocument/2006/relationships/queryTable" Target="../queryTables/queryTable348.xml"/><Relationship Id="rId118" Type="http://schemas.openxmlformats.org/officeDocument/2006/relationships/queryTable" Target="../queryTables/queryTable353.xml"/><Relationship Id="rId134" Type="http://schemas.openxmlformats.org/officeDocument/2006/relationships/queryTable" Target="../queryTables/queryTable369.xml"/><Relationship Id="rId139" Type="http://schemas.openxmlformats.org/officeDocument/2006/relationships/queryTable" Target="../queryTables/queryTable374.xml"/><Relationship Id="rId80" Type="http://schemas.openxmlformats.org/officeDocument/2006/relationships/queryTable" Target="../queryTables/queryTable315.xml"/><Relationship Id="rId85" Type="http://schemas.openxmlformats.org/officeDocument/2006/relationships/queryTable" Target="../queryTables/queryTable320.xml"/><Relationship Id="rId150" Type="http://schemas.openxmlformats.org/officeDocument/2006/relationships/queryTable" Target="../queryTables/queryTable385.xml"/><Relationship Id="rId155" Type="http://schemas.openxmlformats.org/officeDocument/2006/relationships/queryTable" Target="../queryTables/queryTable390.xml"/><Relationship Id="rId171" Type="http://schemas.openxmlformats.org/officeDocument/2006/relationships/queryTable" Target="../queryTables/queryTable406.xml"/><Relationship Id="rId176" Type="http://schemas.openxmlformats.org/officeDocument/2006/relationships/queryTable" Target="../queryTables/queryTable411.xml"/><Relationship Id="rId192" Type="http://schemas.openxmlformats.org/officeDocument/2006/relationships/queryTable" Target="../queryTables/queryTable427.xml"/><Relationship Id="rId197" Type="http://schemas.openxmlformats.org/officeDocument/2006/relationships/queryTable" Target="../queryTables/queryTable432.xml"/><Relationship Id="rId206" Type="http://schemas.openxmlformats.org/officeDocument/2006/relationships/queryTable" Target="../queryTables/queryTable441.xml"/><Relationship Id="rId201" Type="http://schemas.openxmlformats.org/officeDocument/2006/relationships/queryTable" Target="../queryTables/queryTable436.xml"/><Relationship Id="rId12" Type="http://schemas.openxmlformats.org/officeDocument/2006/relationships/queryTable" Target="../queryTables/queryTable247.xml"/><Relationship Id="rId17" Type="http://schemas.openxmlformats.org/officeDocument/2006/relationships/queryTable" Target="../queryTables/queryTable252.xml"/><Relationship Id="rId33" Type="http://schemas.openxmlformats.org/officeDocument/2006/relationships/queryTable" Target="../queryTables/queryTable268.xml"/><Relationship Id="rId38" Type="http://schemas.openxmlformats.org/officeDocument/2006/relationships/queryTable" Target="../queryTables/queryTable273.xml"/><Relationship Id="rId59" Type="http://schemas.openxmlformats.org/officeDocument/2006/relationships/queryTable" Target="../queryTables/queryTable294.xml"/><Relationship Id="rId103" Type="http://schemas.openxmlformats.org/officeDocument/2006/relationships/queryTable" Target="../queryTables/queryTable338.xml"/><Relationship Id="rId108" Type="http://schemas.openxmlformats.org/officeDocument/2006/relationships/queryTable" Target="../queryTables/queryTable343.xml"/><Relationship Id="rId124" Type="http://schemas.openxmlformats.org/officeDocument/2006/relationships/queryTable" Target="../queryTables/queryTable359.xml"/><Relationship Id="rId129" Type="http://schemas.openxmlformats.org/officeDocument/2006/relationships/queryTable" Target="../queryTables/queryTable364.xml"/><Relationship Id="rId54" Type="http://schemas.openxmlformats.org/officeDocument/2006/relationships/queryTable" Target="../queryTables/queryTable289.xml"/><Relationship Id="rId70" Type="http://schemas.openxmlformats.org/officeDocument/2006/relationships/queryTable" Target="../queryTables/queryTable305.xml"/><Relationship Id="rId75" Type="http://schemas.openxmlformats.org/officeDocument/2006/relationships/queryTable" Target="../queryTables/queryTable310.xml"/><Relationship Id="rId91" Type="http://schemas.openxmlformats.org/officeDocument/2006/relationships/queryTable" Target="../queryTables/queryTable326.xml"/><Relationship Id="rId96" Type="http://schemas.openxmlformats.org/officeDocument/2006/relationships/queryTable" Target="../queryTables/queryTable331.xml"/><Relationship Id="rId140" Type="http://schemas.openxmlformats.org/officeDocument/2006/relationships/queryTable" Target="../queryTables/queryTable375.xml"/><Relationship Id="rId145" Type="http://schemas.openxmlformats.org/officeDocument/2006/relationships/queryTable" Target="../queryTables/queryTable380.xml"/><Relationship Id="rId161" Type="http://schemas.openxmlformats.org/officeDocument/2006/relationships/queryTable" Target="../queryTables/queryTable396.xml"/><Relationship Id="rId166" Type="http://schemas.openxmlformats.org/officeDocument/2006/relationships/queryTable" Target="../queryTables/queryTable401.xml"/><Relationship Id="rId182" Type="http://schemas.openxmlformats.org/officeDocument/2006/relationships/queryTable" Target="../queryTables/queryTable417.xml"/><Relationship Id="rId187" Type="http://schemas.openxmlformats.org/officeDocument/2006/relationships/queryTable" Target="../queryTables/queryTable422.xml"/><Relationship Id="rId1" Type="http://schemas.openxmlformats.org/officeDocument/2006/relationships/queryTable" Target="../queryTables/queryTable236.xml"/><Relationship Id="rId6" Type="http://schemas.openxmlformats.org/officeDocument/2006/relationships/queryTable" Target="../queryTables/queryTable241.xml"/><Relationship Id="rId212" Type="http://schemas.openxmlformats.org/officeDocument/2006/relationships/queryTable" Target="../queryTables/queryTable447.xml"/><Relationship Id="rId23" Type="http://schemas.openxmlformats.org/officeDocument/2006/relationships/queryTable" Target="../queryTables/queryTable258.xml"/><Relationship Id="rId28" Type="http://schemas.openxmlformats.org/officeDocument/2006/relationships/queryTable" Target="../queryTables/queryTable263.xml"/><Relationship Id="rId49" Type="http://schemas.openxmlformats.org/officeDocument/2006/relationships/queryTable" Target="../queryTables/queryTable284.xml"/><Relationship Id="rId114" Type="http://schemas.openxmlformats.org/officeDocument/2006/relationships/queryTable" Target="../queryTables/queryTable349.xml"/><Relationship Id="rId119" Type="http://schemas.openxmlformats.org/officeDocument/2006/relationships/queryTable" Target="../queryTables/queryTable354.xml"/><Relationship Id="rId44" Type="http://schemas.openxmlformats.org/officeDocument/2006/relationships/queryTable" Target="../queryTables/queryTable279.xml"/><Relationship Id="rId60" Type="http://schemas.openxmlformats.org/officeDocument/2006/relationships/queryTable" Target="../queryTables/queryTable295.xml"/><Relationship Id="rId65" Type="http://schemas.openxmlformats.org/officeDocument/2006/relationships/queryTable" Target="../queryTables/queryTable300.xml"/><Relationship Id="rId81" Type="http://schemas.openxmlformats.org/officeDocument/2006/relationships/queryTable" Target="../queryTables/queryTable316.xml"/><Relationship Id="rId86" Type="http://schemas.openxmlformats.org/officeDocument/2006/relationships/queryTable" Target="../queryTables/queryTable321.xml"/><Relationship Id="rId130" Type="http://schemas.openxmlformats.org/officeDocument/2006/relationships/queryTable" Target="../queryTables/queryTable365.xml"/><Relationship Id="rId135" Type="http://schemas.openxmlformats.org/officeDocument/2006/relationships/queryTable" Target="../queryTables/queryTable370.xml"/><Relationship Id="rId151" Type="http://schemas.openxmlformats.org/officeDocument/2006/relationships/queryTable" Target="../queryTables/queryTable386.xml"/><Relationship Id="rId156" Type="http://schemas.openxmlformats.org/officeDocument/2006/relationships/queryTable" Target="../queryTables/queryTable391.xml"/><Relationship Id="rId177" Type="http://schemas.openxmlformats.org/officeDocument/2006/relationships/queryTable" Target="../queryTables/queryTable412.xml"/><Relationship Id="rId198" Type="http://schemas.openxmlformats.org/officeDocument/2006/relationships/queryTable" Target="../queryTables/queryTable433.xml"/><Relationship Id="rId172" Type="http://schemas.openxmlformats.org/officeDocument/2006/relationships/queryTable" Target="../queryTables/queryTable407.xml"/><Relationship Id="rId193" Type="http://schemas.openxmlformats.org/officeDocument/2006/relationships/queryTable" Target="../queryTables/queryTable428.xml"/><Relationship Id="rId202" Type="http://schemas.openxmlformats.org/officeDocument/2006/relationships/queryTable" Target="../queryTables/queryTable437.xml"/><Relationship Id="rId207" Type="http://schemas.openxmlformats.org/officeDocument/2006/relationships/queryTable" Target="../queryTables/queryTable442.xml"/><Relationship Id="rId13" Type="http://schemas.openxmlformats.org/officeDocument/2006/relationships/queryTable" Target="../queryTables/queryTable248.xml"/><Relationship Id="rId18" Type="http://schemas.openxmlformats.org/officeDocument/2006/relationships/queryTable" Target="../queryTables/queryTable253.xml"/><Relationship Id="rId39" Type="http://schemas.openxmlformats.org/officeDocument/2006/relationships/queryTable" Target="../queryTables/queryTable274.xml"/><Relationship Id="rId109" Type="http://schemas.openxmlformats.org/officeDocument/2006/relationships/queryTable" Target="../queryTables/queryTable344.xml"/><Relationship Id="rId34" Type="http://schemas.openxmlformats.org/officeDocument/2006/relationships/queryTable" Target="../queryTables/queryTable269.xml"/><Relationship Id="rId50" Type="http://schemas.openxmlformats.org/officeDocument/2006/relationships/queryTable" Target="../queryTables/queryTable285.xml"/><Relationship Id="rId55" Type="http://schemas.openxmlformats.org/officeDocument/2006/relationships/queryTable" Target="../queryTables/queryTable290.xml"/><Relationship Id="rId76" Type="http://schemas.openxmlformats.org/officeDocument/2006/relationships/queryTable" Target="../queryTables/queryTable311.xml"/><Relationship Id="rId97" Type="http://schemas.openxmlformats.org/officeDocument/2006/relationships/queryTable" Target="../queryTables/queryTable332.xml"/><Relationship Id="rId104" Type="http://schemas.openxmlformats.org/officeDocument/2006/relationships/queryTable" Target="../queryTables/queryTable339.xml"/><Relationship Id="rId120" Type="http://schemas.openxmlformats.org/officeDocument/2006/relationships/queryTable" Target="../queryTables/queryTable355.xml"/><Relationship Id="rId125" Type="http://schemas.openxmlformats.org/officeDocument/2006/relationships/queryTable" Target="../queryTables/queryTable360.xml"/><Relationship Id="rId141" Type="http://schemas.openxmlformats.org/officeDocument/2006/relationships/queryTable" Target="../queryTables/queryTable376.xml"/><Relationship Id="rId146" Type="http://schemas.openxmlformats.org/officeDocument/2006/relationships/queryTable" Target="../queryTables/queryTable381.xml"/><Relationship Id="rId167" Type="http://schemas.openxmlformats.org/officeDocument/2006/relationships/queryTable" Target="../queryTables/queryTable402.xml"/><Relationship Id="rId188" Type="http://schemas.openxmlformats.org/officeDocument/2006/relationships/queryTable" Target="../queryTables/queryTable423.xml"/><Relationship Id="rId7" Type="http://schemas.openxmlformats.org/officeDocument/2006/relationships/queryTable" Target="../queryTables/queryTable242.xml"/><Relationship Id="rId71" Type="http://schemas.openxmlformats.org/officeDocument/2006/relationships/queryTable" Target="../queryTables/queryTable306.xml"/><Relationship Id="rId92" Type="http://schemas.openxmlformats.org/officeDocument/2006/relationships/queryTable" Target="../queryTables/queryTable327.xml"/><Relationship Id="rId162" Type="http://schemas.openxmlformats.org/officeDocument/2006/relationships/queryTable" Target="../queryTables/queryTable397.xml"/><Relationship Id="rId183" Type="http://schemas.openxmlformats.org/officeDocument/2006/relationships/queryTable" Target="../queryTables/queryTable418.xml"/><Relationship Id="rId213" Type="http://schemas.openxmlformats.org/officeDocument/2006/relationships/queryTable" Target="../queryTables/queryTable448.xml"/><Relationship Id="rId2" Type="http://schemas.openxmlformats.org/officeDocument/2006/relationships/queryTable" Target="../queryTables/queryTable237.xml"/><Relationship Id="rId29" Type="http://schemas.openxmlformats.org/officeDocument/2006/relationships/queryTable" Target="../queryTables/queryTable264.xml"/><Relationship Id="rId24" Type="http://schemas.openxmlformats.org/officeDocument/2006/relationships/queryTable" Target="../queryTables/queryTable259.xml"/><Relationship Id="rId40" Type="http://schemas.openxmlformats.org/officeDocument/2006/relationships/queryTable" Target="../queryTables/queryTable275.xml"/><Relationship Id="rId45" Type="http://schemas.openxmlformats.org/officeDocument/2006/relationships/queryTable" Target="../queryTables/queryTable280.xml"/><Relationship Id="rId66" Type="http://schemas.openxmlformats.org/officeDocument/2006/relationships/queryTable" Target="../queryTables/queryTable301.xml"/><Relationship Id="rId87" Type="http://schemas.openxmlformats.org/officeDocument/2006/relationships/queryTable" Target="../queryTables/queryTable322.xml"/><Relationship Id="rId110" Type="http://schemas.openxmlformats.org/officeDocument/2006/relationships/queryTable" Target="../queryTables/queryTable345.xml"/><Relationship Id="rId115" Type="http://schemas.openxmlformats.org/officeDocument/2006/relationships/queryTable" Target="../queryTables/queryTable350.xml"/><Relationship Id="rId131" Type="http://schemas.openxmlformats.org/officeDocument/2006/relationships/queryTable" Target="../queryTables/queryTable366.xml"/><Relationship Id="rId136" Type="http://schemas.openxmlformats.org/officeDocument/2006/relationships/queryTable" Target="../queryTables/queryTable371.xml"/><Relationship Id="rId157" Type="http://schemas.openxmlformats.org/officeDocument/2006/relationships/queryTable" Target="../queryTables/queryTable392.xml"/><Relationship Id="rId178" Type="http://schemas.openxmlformats.org/officeDocument/2006/relationships/queryTable" Target="../queryTables/queryTable413.xml"/><Relationship Id="rId61" Type="http://schemas.openxmlformats.org/officeDocument/2006/relationships/queryTable" Target="../queryTables/queryTable296.xml"/><Relationship Id="rId82" Type="http://schemas.openxmlformats.org/officeDocument/2006/relationships/queryTable" Target="../queryTables/queryTable317.xml"/><Relationship Id="rId152" Type="http://schemas.openxmlformats.org/officeDocument/2006/relationships/queryTable" Target="../queryTables/queryTable387.xml"/><Relationship Id="rId173" Type="http://schemas.openxmlformats.org/officeDocument/2006/relationships/queryTable" Target="../queryTables/queryTable408.xml"/><Relationship Id="rId194" Type="http://schemas.openxmlformats.org/officeDocument/2006/relationships/queryTable" Target="../queryTables/queryTable429.xml"/><Relationship Id="rId199" Type="http://schemas.openxmlformats.org/officeDocument/2006/relationships/queryTable" Target="../queryTables/queryTable434.xml"/><Relationship Id="rId203" Type="http://schemas.openxmlformats.org/officeDocument/2006/relationships/queryTable" Target="../queryTables/queryTable438.xml"/><Relationship Id="rId208" Type="http://schemas.openxmlformats.org/officeDocument/2006/relationships/queryTable" Target="../queryTables/queryTable443.xml"/><Relationship Id="rId19" Type="http://schemas.openxmlformats.org/officeDocument/2006/relationships/queryTable" Target="../queryTables/queryTable254.xml"/><Relationship Id="rId14" Type="http://schemas.openxmlformats.org/officeDocument/2006/relationships/queryTable" Target="../queryTables/queryTable249.xml"/><Relationship Id="rId30" Type="http://schemas.openxmlformats.org/officeDocument/2006/relationships/queryTable" Target="../queryTables/queryTable265.xml"/><Relationship Id="rId35" Type="http://schemas.openxmlformats.org/officeDocument/2006/relationships/queryTable" Target="../queryTables/queryTable270.xml"/><Relationship Id="rId56" Type="http://schemas.openxmlformats.org/officeDocument/2006/relationships/queryTable" Target="../queryTables/queryTable291.xml"/><Relationship Id="rId77" Type="http://schemas.openxmlformats.org/officeDocument/2006/relationships/queryTable" Target="../queryTables/queryTable312.xml"/><Relationship Id="rId100" Type="http://schemas.openxmlformats.org/officeDocument/2006/relationships/queryTable" Target="../queryTables/queryTable335.xml"/><Relationship Id="rId105" Type="http://schemas.openxmlformats.org/officeDocument/2006/relationships/queryTable" Target="../queryTables/queryTable340.xml"/><Relationship Id="rId126" Type="http://schemas.openxmlformats.org/officeDocument/2006/relationships/queryTable" Target="../queryTables/queryTable361.xml"/><Relationship Id="rId147" Type="http://schemas.openxmlformats.org/officeDocument/2006/relationships/queryTable" Target="../queryTables/queryTable382.xml"/><Relationship Id="rId168" Type="http://schemas.openxmlformats.org/officeDocument/2006/relationships/queryTable" Target="../queryTables/queryTable403.xml"/><Relationship Id="rId8" Type="http://schemas.openxmlformats.org/officeDocument/2006/relationships/queryTable" Target="../queryTables/queryTable243.xml"/><Relationship Id="rId51" Type="http://schemas.openxmlformats.org/officeDocument/2006/relationships/queryTable" Target="../queryTables/queryTable286.xml"/><Relationship Id="rId72" Type="http://schemas.openxmlformats.org/officeDocument/2006/relationships/queryTable" Target="../queryTables/queryTable307.xml"/><Relationship Id="rId93" Type="http://schemas.openxmlformats.org/officeDocument/2006/relationships/queryTable" Target="../queryTables/queryTable328.xml"/><Relationship Id="rId98" Type="http://schemas.openxmlformats.org/officeDocument/2006/relationships/queryTable" Target="../queryTables/queryTable333.xml"/><Relationship Id="rId121" Type="http://schemas.openxmlformats.org/officeDocument/2006/relationships/queryTable" Target="../queryTables/queryTable356.xml"/><Relationship Id="rId142" Type="http://schemas.openxmlformats.org/officeDocument/2006/relationships/queryTable" Target="../queryTables/queryTable377.xml"/><Relationship Id="rId163" Type="http://schemas.openxmlformats.org/officeDocument/2006/relationships/queryTable" Target="../queryTables/queryTable398.xml"/><Relationship Id="rId184" Type="http://schemas.openxmlformats.org/officeDocument/2006/relationships/queryTable" Target="../queryTables/queryTable419.xml"/><Relationship Id="rId189" Type="http://schemas.openxmlformats.org/officeDocument/2006/relationships/queryTable" Target="../queryTables/queryTable424.xml"/><Relationship Id="rId3" Type="http://schemas.openxmlformats.org/officeDocument/2006/relationships/queryTable" Target="../queryTables/queryTable238.xml"/><Relationship Id="rId214" Type="http://schemas.openxmlformats.org/officeDocument/2006/relationships/queryTable" Target="../queryTables/queryTable449.xml"/><Relationship Id="rId25" Type="http://schemas.openxmlformats.org/officeDocument/2006/relationships/queryTable" Target="../queryTables/queryTable260.xml"/><Relationship Id="rId46" Type="http://schemas.openxmlformats.org/officeDocument/2006/relationships/queryTable" Target="../queryTables/queryTable281.xml"/><Relationship Id="rId67" Type="http://schemas.openxmlformats.org/officeDocument/2006/relationships/queryTable" Target="../queryTables/queryTable302.xml"/><Relationship Id="rId116" Type="http://schemas.openxmlformats.org/officeDocument/2006/relationships/queryTable" Target="../queryTables/queryTable351.xml"/><Relationship Id="rId137" Type="http://schemas.openxmlformats.org/officeDocument/2006/relationships/queryTable" Target="../queryTables/queryTable372.xml"/><Relationship Id="rId158" Type="http://schemas.openxmlformats.org/officeDocument/2006/relationships/queryTable" Target="../queryTables/queryTable393.xml"/><Relationship Id="rId20" Type="http://schemas.openxmlformats.org/officeDocument/2006/relationships/queryTable" Target="../queryTables/queryTable255.xml"/><Relationship Id="rId41" Type="http://schemas.openxmlformats.org/officeDocument/2006/relationships/queryTable" Target="../queryTables/queryTable276.xml"/><Relationship Id="rId62" Type="http://schemas.openxmlformats.org/officeDocument/2006/relationships/queryTable" Target="../queryTables/queryTable297.xml"/><Relationship Id="rId83" Type="http://schemas.openxmlformats.org/officeDocument/2006/relationships/queryTable" Target="../queryTables/queryTable318.xml"/><Relationship Id="rId88" Type="http://schemas.openxmlformats.org/officeDocument/2006/relationships/queryTable" Target="../queryTables/queryTable323.xml"/><Relationship Id="rId111" Type="http://schemas.openxmlformats.org/officeDocument/2006/relationships/queryTable" Target="../queryTables/queryTable346.xml"/><Relationship Id="rId132" Type="http://schemas.openxmlformats.org/officeDocument/2006/relationships/queryTable" Target="../queryTables/queryTable367.xml"/><Relationship Id="rId153" Type="http://schemas.openxmlformats.org/officeDocument/2006/relationships/queryTable" Target="../queryTables/queryTable388.xml"/><Relationship Id="rId174" Type="http://schemas.openxmlformats.org/officeDocument/2006/relationships/queryTable" Target="../queryTables/queryTable409.xml"/><Relationship Id="rId179" Type="http://schemas.openxmlformats.org/officeDocument/2006/relationships/queryTable" Target="../queryTables/queryTable414.xml"/><Relationship Id="rId195" Type="http://schemas.openxmlformats.org/officeDocument/2006/relationships/queryTable" Target="../queryTables/queryTable430.xml"/><Relationship Id="rId209" Type="http://schemas.openxmlformats.org/officeDocument/2006/relationships/queryTable" Target="../queryTables/queryTable444.xml"/><Relationship Id="rId190" Type="http://schemas.openxmlformats.org/officeDocument/2006/relationships/queryTable" Target="../queryTables/queryTable425.xml"/><Relationship Id="rId204" Type="http://schemas.openxmlformats.org/officeDocument/2006/relationships/queryTable" Target="../queryTables/queryTable439.xml"/><Relationship Id="rId15" Type="http://schemas.openxmlformats.org/officeDocument/2006/relationships/queryTable" Target="../queryTables/queryTable250.xml"/><Relationship Id="rId36" Type="http://schemas.openxmlformats.org/officeDocument/2006/relationships/queryTable" Target="../queryTables/queryTable271.xml"/><Relationship Id="rId57" Type="http://schemas.openxmlformats.org/officeDocument/2006/relationships/queryTable" Target="../queryTables/queryTable292.xml"/><Relationship Id="rId106" Type="http://schemas.openxmlformats.org/officeDocument/2006/relationships/queryTable" Target="../queryTables/queryTable341.xml"/><Relationship Id="rId127" Type="http://schemas.openxmlformats.org/officeDocument/2006/relationships/queryTable" Target="../queryTables/queryTable362.xml"/><Relationship Id="rId10" Type="http://schemas.openxmlformats.org/officeDocument/2006/relationships/queryTable" Target="../queryTables/queryTable245.xml"/><Relationship Id="rId31" Type="http://schemas.openxmlformats.org/officeDocument/2006/relationships/queryTable" Target="../queryTables/queryTable266.xml"/><Relationship Id="rId52" Type="http://schemas.openxmlformats.org/officeDocument/2006/relationships/queryTable" Target="../queryTables/queryTable287.xml"/><Relationship Id="rId73" Type="http://schemas.openxmlformats.org/officeDocument/2006/relationships/queryTable" Target="../queryTables/queryTable308.xml"/><Relationship Id="rId78" Type="http://schemas.openxmlformats.org/officeDocument/2006/relationships/queryTable" Target="../queryTables/queryTable313.xml"/><Relationship Id="rId94" Type="http://schemas.openxmlformats.org/officeDocument/2006/relationships/queryTable" Target="../queryTables/queryTable329.xml"/><Relationship Id="rId99" Type="http://schemas.openxmlformats.org/officeDocument/2006/relationships/queryTable" Target="../queryTables/queryTable334.xml"/><Relationship Id="rId101" Type="http://schemas.openxmlformats.org/officeDocument/2006/relationships/queryTable" Target="../queryTables/queryTable336.xml"/><Relationship Id="rId122" Type="http://schemas.openxmlformats.org/officeDocument/2006/relationships/queryTable" Target="../queryTables/queryTable357.xml"/><Relationship Id="rId143" Type="http://schemas.openxmlformats.org/officeDocument/2006/relationships/queryTable" Target="../queryTables/queryTable378.xml"/><Relationship Id="rId148" Type="http://schemas.openxmlformats.org/officeDocument/2006/relationships/queryTable" Target="../queryTables/queryTable383.xml"/><Relationship Id="rId164" Type="http://schemas.openxmlformats.org/officeDocument/2006/relationships/queryTable" Target="../queryTables/queryTable399.xml"/><Relationship Id="rId169" Type="http://schemas.openxmlformats.org/officeDocument/2006/relationships/queryTable" Target="../queryTables/queryTable404.xml"/><Relationship Id="rId185" Type="http://schemas.openxmlformats.org/officeDocument/2006/relationships/queryTable" Target="../queryTables/queryTable420.xml"/><Relationship Id="rId4" Type="http://schemas.openxmlformats.org/officeDocument/2006/relationships/queryTable" Target="../queryTables/queryTable239.xml"/><Relationship Id="rId9" Type="http://schemas.openxmlformats.org/officeDocument/2006/relationships/queryTable" Target="../queryTables/queryTable244.xml"/><Relationship Id="rId180" Type="http://schemas.openxmlformats.org/officeDocument/2006/relationships/queryTable" Target="../queryTables/queryTable415.xml"/><Relationship Id="rId210" Type="http://schemas.openxmlformats.org/officeDocument/2006/relationships/queryTable" Target="../queryTables/queryTable445.xml"/><Relationship Id="rId26" Type="http://schemas.openxmlformats.org/officeDocument/2006/relationships/queryTable" Target="../queryTables/queryTable261.xml"/><Relationship Id="rId47" Type="http://schemas.openxmlformats.org/officeDocument/2006/relationships/queryTable" Target="../queryTables/queryTable282.xml"/><Relationship Id="rId68" Type="http://schemas.openxmlformats.org/officeDocument/2006/relationships/queryTable" Target="../queryTables/queryTable303.xml"/><Relationship Id="rId89" Type="http://schemas.openxmlformats.org/officeDocument/2006/relationships/queryTable" Target="../queryTables/queryTable324.xml"/><Relationship Id="rId112" Type="http://schemas.openxmlformats.org/officeDocument/2006/relationships/queryTable" Target="../queryTables/queryTable347.xml"/><Relationship Id="rId133" Type="http://schemas.openxmlformats.org/officeDocument/2006/relationships/queryTable" Target="../queryTables/queryTable368.xml"/><Relationship Id="rId154" Type="http://schemas.openxmlformats.org/officeDocument/2006/relationships/queryTable" Target="../queryTables/queryTable389.xml"/><Relationship Id="rId175" Type="http://schemas.openxmlformats.org/officeDocument/2006/relationships/queryTable" Target="../queryTables/queryTable410.xml"/><Relationship Id="rId196" Type="http://schemas.openxmlformats.org/officeDocument/2006/relationships/queryTable" Target="../queryTables/queryTable431.xml"/><Relationship Id="rId200" Type="http://schemas.openxmlformats.org/officeDocument/2006/relationships/queryTable" Target="../queryTables/queryTable435.xml"/><Relationship Id="rId16" Type="http://schemas.openxmlformats.org/officeDocument/2006/relationships/queryTable" Target="../queryTables/queryTable25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1995"/>
  <sheetViews>
    <sheetView tabSelected="1" topLeftCell="A202" zoomScale="125" zoomScaleNormal="125" workbookViewId="0">
      <selection activeCell="A190" sqref="A190:XFD190"/>
    </sheetView>
  </sheetViews>
  <sheetFormatPr defaultColWidth="8.81640625" defaultRowHeight="12.5" x14ac:dyDescent="0.25"/>
  <cols>
    <col min="1" max="1" width="12" customWidth="1" collapsed="1"/>
    <col min="2" max="2" width="0.7265625" customWidth="1" collapsed="1"/>
    <col min="3" max="3" width="25.7265625" style="3" customWidth="1" collapsed="1"/>
    <col min="4" max="4" width="29" customWidth="1" collapsed="1"/>
    <col min="5" max="5" width="7.7265625" style="3" customWidth="1" collapsed="1"/>
    <col min="6" max="6" width="9.1796875" style="3" customWidth="1" collapsed="1"/>
    <col min="7" max="8" width="15.81640625" style="3" bestFit="1" customWidth="1" collapsed="1"/>
    <col min="9" max="9" width="9.1796875" style="2" customWidth="1" collapsed="1"/>
    <col min="10" max="10" width="9.26953125" style="4" customWidth="1" collapsed="1"/>
    <col min="11" max="11" width="9.26953125" style="1" customWidth="1" collapsed="1"/>
    <col min="12" max="14" width="9" customWidth="1" collapsed="1"/>
    <col min="15" max="15" width="10.7265625" customWidth="1" collapsed="1"/>
    <col min="16" max="16" width="10.453125" customWidth="1" collapsed="1"/>
    <col min="17" max="17" width="12.81640625" customWidth="1" collapsed="1"/>
    <col min="18" max="18" width="8.81640625" style="9" collapsed="1"/>
    <col min="19" max="19" width="8.81640625" style="3" collapsed="1"/>
    <col min="20" max="23" width="12.26953125" style="3" customWidth="1" collapsed="1"/>
    <col min="24" max="24" width="11.81640625" style="10" customWidth="1" collapsed="1"/>
    <col min="25" max="25" width="8.81640625" style="6" collapsed="1"/>
    <col min="26" max="26" width="10.453125" style="10" customWidth="1" collapsed="1"/>
    <col min="27" max="27" width="9.81640625" style="6" customWidth="1" collapsed="1"/>
    <col min="28" max="28" width="14.7265625" style="102" bestFit="1" customWidth="1"/>
    <col min="30" max="30" width="9.453125" style="10" bestFit="1" customWidth="1"/>
    <col min="32" max="32" width="8.81640625" style="10"/>
  </cols>
  <sheetData>
    <row r="1" spans="1:32" ht="14.15" customHeight="1" x14ac:dyDescent="0.3">
      <c r="A1" s="80" t="s">
        <v>0</v>
      </c>
      <c r="B1" s="81"/>
      <c r="C1" s="82" t="s">
        <v>405</v>
      </c>
      <c r="D1" s="72"/>
      <c r="E1" s="73"/>
      <c r="F1" s="40"/>
      <c r="G1" s="40"/>
      <c r="H1" s="40"/>
      <c r="I1" s="41"/>
      <c r="J1" s="42"/>
      <c r="K1" s="43"/>
      <c r="L1" s="39"/>
      <c r="M1" s="39"/>
      <c r="N1" s="39"/>
      <c r="O1" s="39"/>
      <c r="P1" s="39"/>
      <c r="Q1" s="44"/>
      <c r="R1" s="45"/>
      <c r="S1" s="46"/>
      <c r="T1" s="46"/>
      <c r="U1" s="46"/>
      <c r="V1" s="46"/>
      <c r="W1" s="46"/>
      <c r="X1" s="47"/>
      <c r="Y1" s="48"/>
      <c r="Z1" s="47"/>
      <c r="AA1" s="48"/>
    </row>
    <row r="2" spans="1:32" ht="14.15" customHeight="1" x14ac:dyDescent="0.45">
      <c r="A2" s="74" t="s">
        <v>1</v>
      </c>
      <c r="B2" s="75"/>
      <c r="C2" s="76" t="s">
        <v>179</v>
      </c>
      <c r="D2" s="77"/>
      <c r="E2" s="38"/>
      <c r="F2" s="16"/>
      <c r="G2" s="16"/>
      <c r="H2" s="16"/>
      <c r="I2" s="19"/>
      <c r="J2" s="12"/>
      <c r="K2" s="13"/>
      <c r="L2" s="14"/>
      <c r="M2" s="14"/>
      <c r="N2" s="14"/>
      <c r="O2" s="14"/>
      <c r="P2" s="14"/>
      <c r="Q2" s="20"/>
      <c r="R2" s="15"/>
      <c r="S2" s="16"/>
      <c r="T2" s="16"/>
      <c r="U2" s="16"/>
      <c r="V2" s="16"/>
      <c r="W2" s="16"/>
      <c r="X2" s="17"/>
      <c r="Y2" s="18"/>
      <c r="Z2" s="17"/>
      <c r="AA2" s="18"/>
    </row>
    <row r="3" spans="1:32" ht="15.5" x14ac:dyDescent="0.45">
      <c r="A3" s="21"/>
      <c r="B3" s="14"/>
      <c r="C3" s="16"/>
      <c r="D3" s="14"/>
      <c r="E3" s="22"/>
      <c r="F3" s="16"/>
      <c r="G3" s="16"/>
      <c r="H3" s="16"/>
      <c r="I3" s="23"/>
      <c r="J3" s="12"/>
      <c r="K3" s="13"/>
      <c r="L3" s="14"/>
      <c r="M3" s="14"/>
      <c r="N3" s="14"/>
      <c r="O3" s="108" t="s">
        <v>1094</v>
      </c>
      <c r="P3" s="14"/>
      <c r="Q3" s="14"/>
      <c r="R3" s="15"/>
      <c r="S3" s="16"/>
      <c r="T3" s="16"/>
      <c r="U3" s="16"/>
      <c r="V3" s="16"/>
      <c r="W3" s="16"/>
      <c r="X3" s="17"/>
      <c r="Y3" s="18"/>
      <c r="Z3" s="17"/>
      <c r="AA3" s="18"/>
    </row>
    <row r="4" spans="1:32" s="5" customFormat="1" ht="62.15" customHeight="1" thickBot="1" x14ac:dyDescent="0.55000000000000004">
      <c r="A4" s="63" t="s">
        <v>22</v>
      </c>
      <c r="B4" s="64"/>
      <c r="C4" s="65"/>
      <c r="D4" s="66" t="s">
        <v>23</v>
      </c>
      <c r="E4" s="65"/>
      <c r="F4" s="65"/>
      <c r="G4" s="65"/>
      <c r="H4" s="65"/>
      <c r="I4" s="65"/>
      <c r="J4" s="65"/>
      <c r="K4" s="67"/>
      <c r="L4" s="63"/>
      <c r="M4" s="63"/>
      <c r="N4" s="63"/>
      <c r="O4" s="63"/>
      <c r="P4" s="63"/>
      <c r="Q4" s="63" t="s">
        <v>19</v>
      </c>
      <c r="R4" s="68" t="s">
        <v>20</v>
      </c>
      <c r="S4" s="69"/>
      <c r="T4" s="69"/>
      <c r="U4" s="69"/>
      <c r="V4" s="69"/>
      <c r="W4" s="69"/>
      <c r="X4" s="70" t="s">
        <v>21</v>
      </c>
      <c r="Y4" s="71"/>
      <c r="Z4" s="70"/>
      <c r="AA4" s="71"/>
      <c r="AB4" s="104"/>
      <c r="AD4" s="103"/>
      <c r="AF4" s="103"/>
    </row>
    <row r="5" spans="1:32" ht="17.149999999999999" customHeight="1" thickTop="1" x14ac:dyDescent="0.35">
      <c r="A5" s="79" t="s">
        <v>4</v>
      </c>
      <c r="B5" s="24"/>
      <c r="C5" s="25" t="s">
        <v>14</v>
      </c>
      <c r="D5" s="24" t="s">
        <v>2</v>
      </c>
      <c r="E5" s="25" t="s">
        <v>15</v>
      </c>
      <c r="F5" s="26" t="s">
        <v>5</v>
      </c>
      <c r="G5" s="26" t="s">
        <v>165</v>
      </c>
      <c r="H5" s="26" t="s">
        <v>6</v>
      </c>
      <c r="I5" s="26" t="s">
        <v>7</v>
      </c>
      <c r="J5" s="26" t="s">
        <v>8</v>
      </c>
      <c r="K5" s="27" t="s">
        <v>9</v>
      </c>
      <c r="L5" s="27" t="s">
        <v>18</v>
      </c>
      <c r="M5" s="27" t="s">
        <v>168</v>
      </c>
      <c r="N5" s="27" t="s">
        <v>169</v>
      </c>
      <c r="O5" s="27" t="s">
        <v>166</v>
      </c>
      <c r="P5" s="27" t="s">
        <v>167</v>
      </c>
      <c r="Q5" s="27" t="s">
        <v>17</v>
      </c>
      <c r="R5" s="83" t="s">
        <v>10</v>
      </c>
      <c r="S5" s="26" t="s">
        <v>11</v>
      </c>
      <c r="T5" s="26" t="s">
        <v>12</v>
      </c>
      <c r="U5" s="26" t="s">
        <v>170</v>
      </c>
      <c r="V5" s="26" t="s">
        <v>171</v>
      </c>
      <c r="W5" s="26" t="s">
        <v>172</v>
      </c>
      <c r="X5" s="84" t="s">
        <v>24</v>
      </c>
      <c r="Y5" s="85" t="s">
        <v>13</v>
      </c>
      <c r="Z5" s="84" t="s">
        <v>25</v>
      </c>
      <c r="AA5" s="86" t="s">
        <v>13</v>
      </c>
      <c r="AB5" s="102" t="s">
        <v>174</v>
      </c>
      <c r="AC5" t="s">
        <v>175</v>
      </c>
      <c r="AD5" s="10" t="s">
        <v>176</v>
      </c>
      <c r="AE5" t="s">
        <v>177</v>
      </c>
      <c r="AF5" s="10" t="s">
        <v>178</v>
      </c>
    </row>
    <row r="6" spans="1:32" ht="2.15" customHeight="1" x14ac:dyDescent="0.25">
      <c r="A6" s="30"/>
      <c r="B6" s="28"/>
      <c r="C6" s="29"/>
      <c r="D6" s="30"/>
      <c r="E6" s="29"/>
      <c r="F6" s="29"/>
      <c r="G6" s="29"/>
      <c r="H6" s="31"/>
      <c r="I6" s="32"/>
      <c r="J6" s="32"/>
      <c r="K6" s="33"/>
      <c r="L6" s="28"/>
      <c r="M6" s="28"/>
      <c r="N6" s="28"/>
      <c r="O6" s="28"/>
      <c r="P6" s="28"/>
      <c r="Q6" s="28"/>
      <c r="R6" s="34"/>
      <c r="S6" s="35"/>
      <c r="T6" s="35"/>
      <c r="U6" s="35"/>
      <c r="V6" s="35"/>
      <c r="W6" s="35"/>
      <c r="X6" s="36"/>
      <c r="Y6" s="37"/>
      <c r="Z6" s="36"/>
      <c r="AA6" s="37"/>
    </row>
    <row r="7" spans="1:32" ht="16" customHeight="1" x14ac:dyDescent="0.25">
      <c r="A7" s="105" t="s">
        <v>1095</v>
      </c>
      <c r="B7" s="51"/>
      <c r="C7" s="52" t="s">
        <v>406</v>
      </c>
      <c r="D7" s="50">
        <v>42678</v>
      </c>
      <c r="E7" s="53" t="s">
        <v>407</v>
      </c>
      <c r="F7" s="54">
        <v>3.8</v>
      </c>
      <c r="G7" s="54">
        <v>56708000</v>
      </c>
      <c r="H7" s="54">
        <v>3.85</v>
      </c>
      <c r="I7" s="54">
        <v>3.94</v>
      </c>
      <c r="J7" s="54">
        <v>3.8</v>
      </c>
      <c r="K7" s="55">
        <v>-0.03</v>
      </c>
      <c r="L7" s="56">
        <v>-7.7999999999999996E-3</v>
      </c>
      <c r="M7" s="56">
        <v>-0.30909999999999999</v>
      </c>
      <c r="N7" s="56">
        <v>5.5599999999999997E-2</v>
      </c>
      <c r="O7" s="88">
        <v>3.6</v>
      </c>
      <c r="P7" s="88">
        <v>5.5</v>
      </c>
      <c r="Q7" s="87" t="s">
        <v>408</v>
      </c>
      <c r="R7" s="57">
        <v>27.74</v>
      </c>
      <c r="S7" s="58" t="s">
        <v>3</v>
      </c>
      <c r="T7" s="58">
        <v>1.33</v>
      </c>
      <c r="U7" s="58">
        <v>0.14000000000000001</v>
      </c>
      <c r="V7" s="58" t="s">
        <v>409</v>
      </c>
      <c r="W7" s="58" t="s">
        <v>3</v>
      </c>
      <c r="X7" s="59">
        <v>4.09</v>
      </c>
      <c r="Y7" s="60">
        <v>-7.0499999999999993E-2</v>
      </c>
      <c r="Z7" s="61">
        <v>4.43</v>
      </c>
      <c r="AA7" s="62">
        <v>-0.1421</v>
      </c>
      <c r="AB7" s="102">
        <v>285481</v>
      </c>
      <c r="AC7">
        <v>3.8</v>
      </c>
      <c r="AD7" s="10">
        <v>545</v>
      </c>
      <c r="AE7">
        <v>53377</v>
      </c>
      <c r="AF7" s="10">
        <v>3.83</v>
      </c>
    </row>
    <row r="8" spans="1:32" ht="16" customHeight="1" x14ac:dyDescent="0.25">
      <c r="A8" s="105" t="s">
        <v>1096</v>
      </c>
      <c r="B8" s="51"/>
      <c r="C8" s="52" t="s">
        <v>410</v>
      </c>
      <c r="D8" s="50">
        <v>42678</v>
      </c>
      <c r="E8" s="53" t="s">
        <v>411</v>
      </c>
      <c r="F8" s="54">
        <v>3.06</v>
      </c>
      <c r="G8" s="54">
        <v>71496000</v>
      </c>
      <c r="H8" s="54">
        <v>3.14</v>
      </c>
      <c r="I8" s="54">
        <v>3.14</v>
      </c>
      <c r="J8" s="54">
        <v>3.02</v>
      </c>
      <c r="K8" s="55">
        <v>0</v>
      </c>
      <c r="L8" s="56">
        <v>0</v>
      </c>
      <c r="M8" s="56">
        <v>-0.28670000000000001</v>
      </c>
      <c r="N8" s="56">
        <v>1.3084</v>
      </c>
      <c r="O8" s="88">
        <v>1.33</v>
      </c>
      <c r="P8" s="88">
        <v>4.29</v>
      </c>
      <c r="Q8" s="87" t="s">
        <v>412</v>
      </c>
      <c r="R8" s="57" t="s">
        <v>3</v>
      </c>
      <c r="S8" s="58" t="s">
        <v>3</v>
      </c>
      <c r="T8" s="58">
        <v>0</v>
      </c>
      <c r="U8" s="58">
        <v>-0.05</v>
      </c>
      <c r="V8" s="58" t="s">
        <v>413</v>
      </c>
      <c r="W8" s="58" t="s">
        <v>3</v>
      </c>
      <c r="X8" s="59">
        <v>3.49</v>
      </c>
      <c r="Y8" s="60">
        <v>-0.1242</v>
      </c>
      <c r="Z8" s="61">
        <v>3.32</v>
      </c>
      <c r="AA8" s="62">
        <v>-7.8799999999999995E-2</v>
      </c>
      <c r="AB8" s="102">
        <v>262634</v>
      </c>
      <c r="AC8">
        <v>3.06</v>
      </c>
      <c r="AD8" s="10">
        <v>105</v>
      </c>
      <c r="AE8">
        <v>62614</v>
      </c>
      <c r="AF8" s="10">
        <v>3.06</v>
      </c>
    </row>
    <row r="9" spans="1:32" ht="16" customHeight="1" x14ac:dyDescent="0.25">
      <c r="A9" s="105" t="s">
        <v>1097</v>
      </c>
      <c r="B9" s="51"/>
      <c r="C9" s="52" t="s">
        <v>414</v>
      </c>
      <c r="D9" s="50">
        <v>42677</v>
      </c>
      <c r="E9" s="53" t="s">
        <v>415</v>
      </c>
      <c r="F9" s="54">
        <v>0.72</v>
      </c>
      <c r="G9" s="54">
        <v>111747000</v>
      </c>
      <c r="H9" s="54">
        <v>0.72</v>
      </c>
      <c r="I9" s="54">
        <v>0.72</v>
      </c>
      <c r="J9" s="54">
        <v>0.72</v>
      </c>
      <c r="K9" s="55">
        <v>0</v>
      </c>
      <c r="L9" s="56">
        <v>0</v>
      </c>
      <c r="M9" s="56">
        <v>-0.48199999999999998</v>
      </c>
      <c r="N9" s="56">
        <v>3.5999999999999997E-2</v>
      </c>
      <c r="O9" s="88">
        <v>0.69</v>
      </c>
      <c r="P9" s="88">
        <v>1.39</v>
      </c>
      <c r="Q9" s="87" t="s">
        <v>416</v>
      </c>
      <c r="R9" s="57">
        <v>19.46</v>
      </c>
      <c r="S9" s="58" t="s">
        <v>3</v>
      </c>
      <c r="T9" s="58">
        <v>0</v>
      </c>
      <c r="U9" s="58">
        <v>0.04</v>
      </c>
      <c r="V9" s="58" t="s">
        <v>417</v>
      </c>
      <c r="W9" s="58" t="s">
        <v>3</v>
      </c>
      <c r="X9" s="59">
        <v>0.75</v>
      </c>
      <c r="Y9" s="60">
        <v>-4.5199999999999997E-2</v>
      </c>
      <c r="Z9" s="61">
        <v>0.8</v>
      </c>
      <c r="AA9" s="62">
        <v>-9.8799999999999999E-2</v>
      </c>
      <c r="AB9" s="102">
        <v>43573</v>
      </c>
      <c r="AC9">
        <v>0.72</v>
      </c>
      <c r="AD9" s="10">
        <v>1300</v>
      </c>
      <c r="AE9">
        <v>11300</v>
      </c>
      <c r="AF9" s="10">
        <v>0.72</v>
      </c>
    </row>
    <row r="10" spans="1:32" ht="16" customHeight="1" x14ac:dyDescent="0.25">
      <c r="A10" s="105" t="s">
        <v>1098</v>
      </c>
      <c r="B10" s="51"/>
      <c r="C10" s="52" t="s">
        <v>418</v>
      </c>
      <c r="D10" s="50">
        <v>42677</v>
      </c>
      <c r="E10" s="53" t="s">
        <v>419</v>
      </c>
      <c r="F10" s="54">
        <v>12.3</v>
      </c>
      <c r="G10" s="54">
        <v>3671000</v>
      </c>
      <c r="H10" s="54">
        <v>12.5</v>
      </c>
      <c r="I10" s="54">
        <v>12.5</v>
      </c>
      <c r="J10" s="54">
        <v>12.3</v>
      </c>
      <c r="K10" s="55">
        <v>0</v>
      </c>
      <c r="L10" s="56">
        <v>0</v>
      </c>
      <c r="M10" s="56">
        <v>-0.1055</v>
      </c>
      <c r="N10" s="56">
        <v>0.53749999999999998</v>
      </c>
      <c r="O10" s="88">
        <v>8</v>
      </c>
      <c r="P10" s="88">
        <v>13.75</v>
      </c>
      <c r="Q10" s="87" t="s">
        <v>420</v>
      </c>
      <c r="R10" s="57">
        <v>49.6</v>
      </c>
      <c r="S10" s="58" t="s">
        <v>3</v>
      </c>
      <c r="T10" s="58">
        <v>0</v>
      </c>
      <c r="U10" s="58">
        <v>0.25</v>
      </c>
      <c r="V10" s="58" t="s">
        <v>421</v>
      </c>
      <c r="W10" s="58" t="s">
        <v>3</v>
      </c>
      <c r="X10" s="59">
        <v>12.1</v>
      </c>
      <c r="Y10" s="60">
        <v>1.6400000000000001E-2</v>
      </c>
      <c r="Z10" s="61">
        <v>11.82</v>
      </c>
      <c r="AA10" s="62">
        <v>4.0899999999999999E-2</v>
      </c>
      <c r="AB10" s="102">
        <v>2848</v>
      </c>
      <c r="AC10">
        <v>12.3</v>
      </c>
      <c r="AD10" s="10">
        <v>5000</v>
      </c>
      <c r="AE10">
        <v>21000</v>
      </c>
      <c r="AF10" s="10">
        <v>12.3</v>
      </c>
    </row>
    <row r="11" spans="1:32" ht="16" customHeight="1" x14ac:dyDescent="0.25">
      <c r="A11" s="105" t="s">
        <v>1099</v>
      </c>
      <c r="B11" s="51"/>
      <c r="C11" s="52" t="s">
        <v>422</v>
      </c>
      <c r="D11" s="50">
        <v>42678</v>
      </c>
      <c r="E11" s="53" t="s">
        <v>423</v>
      </c>
      <c r="F11" s="54">
        <v>0.8</v>
      </c>
      <c r="G11" s="54">
        <v>221479000</v>
      </c>
      <c r="H11" s="54">
        <v>0.81</v>
      </c>
      <c r="I11" s="54">
        <v>0.81</v>
      </c>
      <c r="J11" s="54">
        <v>0.8</v>
      </c>
      <c r="K11" s="55">
        <v>-0.01</v>
      </c>
      <c r="L11" s="56">
        <v>-1.23E-2</v>
      </c>
      <c r="M11" s="56">
        <v>-8.5699999999999998E-2</v>
      </c>
      <c r="N11" s="56">
        <v>0.90480000000000005</v>
      </c>
      <c r="O11" s="88">
        <v>0.42</v>
      </c>
      <c r="P11" s="88">
        <v>0.88</v>
      </c>
      <c r="Q11" s="87" t="s">
        <v>424</v>
      </c>
      <c r="R11" s="57">
        <v>800</v>
      </c>
      <c r="S11" s="58" t="s">
        <v>3</v>
      </c>
      <c r="T11" s="58">
        <v>0</v>
      </c>
      <c r="U11" s="58">
        <v>0</v>
      </c>
      <c r="V11" s="58" t="s">
        <v>425</v>
      </c>
      <c r="W11" s="58" t="s">
        <v>3</v>
      </c>
      <c r="X11" s="59">
        <v>0.66</v>
      </c>
      <c r="Y11" s="60">
        <v>0.2109</v>
      </c>
      <c r="Z11" s="61">
        <v>0.59</v>
      </c>
      <c r="AA11" s="62">
        <v>0.3584</v>
      </c>
      <c r="AB11" s="102">
        <v>162584</v>
      </c>
      <c r="AC11">
        <v>0.8</v>
      </c>
      <c r="AD11" s="10">
        <v>14224</v>
      </c>
      <c r="AE11">
        <v>57265</v>
      </c>
      <c r="AF11" s="10">
        <v>0.81</v>
      </c>
    </row>
    <row r="12" spans="1:32" ht="16" customHeight="1" x14ac:dyDescent="0.25">
      <c r="A12" s="105" t="s">
        <v>1100</v>
      </c>
      <c r="B12" s="51"/>
      <c r="C12" s="52" t="s">
        <v>426</v>
      </c>
      <c r="D12" s="50">
        <v>42678</v>
      </c>
      <c r="E12" s="53" t="s">
        <v>427</v>
      </c>
      <c r="F12" s="54">
        <v>1.895</v>
      </c>
      <c r="G12" s="54">
        <v>80133000</v>
      </c>
      <c r="H12" s="54">
        <v>1.95</v>
      </c>
      <c r="I12" s="54">
        <v>1.95</v>
      </c>
      <c r="J12" s="54">
        <v>1.8049999999999999</v>
      </c>
      <c r="K12" s="55">
        <v>-0.1</v>
      </c>
      <c r="L12" s="56">
        <v>-5.0130000000000001E-2</v>
      </c>
      <c r="M12" s="56">
        <v>-0.31587999999999999</v>
      </c>
      <c r="N12" s="56">
        <v>0.24671000000000001</v>
      </c>
      <c r="O12" s="88">
        <v>1.52</v>
      </c>
      <c r="P12" s="88">
        <v>2.77</v>
      </c>
      <c r="Q12" s="87" t="s">
        <v>428</v>
      </c>
      <c r="R12" s="57">
        <v>12.07</v>
      </c>
      <c r="S12" s="58" t="s">
        <v>3</v>
      </c>
      <c r="T12" s="58">
        <v>0</v>
      </c>
      <c r="U12" s="58">
        <v>0.157</v>
      </c>
      <c r="V12" s="58" t="s">
        <v>429</v>
      </c>
      <c r="W12" s="58" t="s">
        <v>3</v>
      </c>
      <c r="X12" s="59">
        <v>2.044</v>
      </c>
      <c r="Y12" s="60">
        <v>-7.2739999999999999E-2</v>
      </c>
      <c r="Z12" s="61">
        <v>1.96</v>
      </c>
      <c r="AA12" s="62">
        <v>-3.2980000000000002E-2</v>
      </c>
      <c r="AB12" s="102">
        <v>269623</v>
      </c>
      <c r="AC12">
        <v>1.895</v>
      </c>
      <c r="AD12" s="10">
        <v>232</v>
      </c>
      <c r="AE12">
        <v>551440</v>
      </c>
      <c r="AF12" s="10">
        <v>1.9950000000000001</v>
      </c>
    </row>
    <row r="13" spans="1:32" ht="16" customHeight="1" x14ac:dyDescent="0.25">
      <c r="A13" s="105" t="s">
        <v>1101</v>
      </c>
      <c r="B13" s="51"/>
      <c r="C13" s="52" t="s">
        <v>430</v>
      </c>
      <c r="D13" s="50">
        <v>42678</v>
      </c>
      <c r="E13" s="53" t="s">
        <v>431</v>
      </c>
      <c r="F13" s="54">
        <v>2.2599999999999998</v>
      </c>
      <c r="G13" s="54">
        <v>96567000</v>
      </c>
      <c r="H13" s="54">
        <v>2.2599999999999998</v>
      </c>
      <c r="I13" s="54">
        <v>2.2799999999999998</v>
      </c>
      <c r="J13" s="54">
        <v>2.2599999999999998</v>
      </c>
      <c r="K13" s="55">
        <v>0</v>
      </c>
      <c r="L13" s="56">
        <v>0</v>
      </c>
      <c r="M13" s="56">
        <v>-0.1137</v>
      </c>
      <c r="N13" s="56">
        <v>0.17100000000000001</v>
      </c>
      <c r="O13" s="88">
        <v>1.93</v>
      </c>
      <c r="P13" s="88">
        <v>2.5499999999999998</v>
      </c>
      <c r="Q13" s="87" t="s">
        <v>432</v>
      </c>
      <c r="R13" s="57">
        <v>7.51</v>
      </c>
      <c r="S13" s="58" t="s">
        <v>3</v>
      </c>
      <c r="T13" s="58">
        <v>1.18</v>
      </c>
      <c r="U13" s="58">
        <v>0.3</v>
      </c>
      <c r="V13" s="58" t="s">
        <v>433</v>
      </c>
      <c r="W13" s="58" t="s">
        <v>3</v>
      </c>
      <c r="X13" s="59">
        <v>2.2799999999999998</v>
      </c>
      <c r="Y13" s="60">
        <v>-6.7000000000000002E-3</v>
      </c>
      <c r="Z13" s="61">
        <v>2.2400000000000002</v>
      </c>
      <c r="AA13" s="62">
        <v>7.1999999999999998E-3</v>
      </c>
      <c r="AB13" s="102">
        <v>391829</v>
      </c>
      <c r="AC13">
        <v>2.2599999999999998</v>
      </c>
      <c r="AD13" s="10">
        <v>35</v>
      </c>
      <c r="AE13">
        <v>59150</v>
      </c>
      <c r="AF13" s="10">
        <v>2.2599999999999998</v>
      </c>
    </row>
    <row r="14" spans="1:32" ht="16" customHeight="1" x14ac:dyDescent="0.25">
      <c r="A14" s="105" t="s">
        <v>1102</v>
      </c>
      <c r="B14" s="51"/>
      <c r="C14" s="52" t="s">
        <v>434</v>
      </c>
      <c r="D14" s="50">
        <v>42678</v>
      </c>
      <c r="E14" s="53" t="s">
        <v>435</v>
      </c>
      <c r="F14" s="54">
        <v>2.1</v>
      </c>
      <c r="G14" s="54">
        <v>55309000</v>
      </c>
      <c r="H14" s="54">
        <v>2.23</v>
      </c>
      <c r="I14" s="54">
        <v>2.23</v>
      </c>
      <c r="J14" s="54">
        <v>2.1</v>
      </c>
      <c r="K14" s="55">
        <v>-0.11</v>
      </c>
      <c r="L14" s="56">
        <v>-4.9799999999999997E-2</v>
      </c>
      <c r="M14" s="56">
        <v>-0.2419</v>
      </c>
      <c r="N14" s="56">
        <v>0.68</v>
      </c>
      <c r="O14" s="88">
        <v>1.25</v>
      </c>
      <c r="P14" s="88">
        <v>2.77</v>
      </c>
      <c r="Q14" s="87" t="s">
        <v>436</v>
      </c>
      <c r="R14" s="57">
        <v>7.05</v>
      </c>
      <c r="S14" s="58" t="s">
        <v>3</v>
      </c>
      <c r="T14" s="58">
        <v>0</v>
      </c>
      <c r="U14" s="58">
        <v>0.3</v>
      </c>
      <c r="V14" s="58" t="s">
        <v>437</v>
      </c>
      <c r="W14" s="58" t="s">
        <v>3</v>
      </c>
      <c r="X14" s="59">
        <v>2.34</v>
      </c>
      <c r="Y14" s="60">
        <v>-0.1041</v>
      </c>
      <c r="Z14" s="61">
        <v>2.3199999999999998</v>
      </c>
      <c r="AA14" s="62">
        <v>-9.6100000000000005E-2</v>
      </c>
      <c r="AB14" s="102">
        <v>15828</v>
      </c>
      <c r="AC14">
        <v>2.1</v>
      </c>
      <c r="AD14" s="10">
        <v>40</v>
      </c>
      <c r="AE14">
        <v>3372</v>
      </c>
      <c r="AF14" s="10">
        <v>2.21</v>
      </c>
    </row>
    <row r="15" spans="1:32" ht="16" customHeight="1" x14ac:dyDescent="0.25">
      <c r="A15" s="105" t="s">
        <v>1103</v>
      </c>
      <c r="B15" s="51"/>
      <c r="C15" s="52" t="s">
        <v>438</v>
      </c>
      <c r="D15" s="50">
        <v>42678</v>
      </c>
      <c r="E15" s="53" t="s">
        <v>411</v>
      </c>
      <c r="F15" s="54">
        <v>2.12</v>
      </c>
      <c r="G15" s="54" t="s">
        <v>3</v>
      </c>
      <c r="H15" s="54">
        <v>2.14</v>
      </c>
      <c r="I15" s="54">
        <v>2.14</v>
      </c>
      <c r="J15" s="54">
        <v>2.12</v>
      </c>
      <c r="K15" s="55">
        <v>-0.01</v>
      </c>
      <c r="L15" s="56">
        <v>-4.7000000000000002E-3</v>
      </c>
      <c r="M15" s="56">
        <v>-0.1167</v>
      </c>
      <c r="N15" s="56">
        <v>0.1158</v>
      </c>
      <c r="O15" s="88">
        <v>1.9</v>
      </c>
      <c r="P15" s="88">
        <v>2.4</v>
      </c>
      <c r="Q15" s="87" t="s">
        <v>3</v>
      </c>
      <c r="R15" s="57" t="s">
        <v>3</v>
      </c>
      <c r="S15" s="58" t="s">
        <v>3</v>
      </c>
      <c r="T15" s="58">
        <v>0</v>
      </c>
      <c r="U15" s="58">
        <v>0.23</v>
      </c>
      <c r="V15" s="58">
        <v>0</v>
      </c>
      <c r="W15" s="58" t="s">
        <v>3</v>
      </c>
      <c r="X15" s="59">
        <v>2.1800000000000002</v>
      </c>
      <c r="Y15" s="60">
        <v>-2.7799999999999998E-2</v>
      </c>
      <c r="Z15" s="61">
        <v>2.2000000000000002</v>
      </c>
      <c r="AA15" s="62">
        <v>-3.6799999999999999E-2</v>
      </c>
      <c r="AB15" s="102">
        <v>91268</v>
      </c>
      <c r="AC15">
        <v>2.12</v>
      </c>
      <c r="AD15" s="10">
        <v>42</v>
      </c>
      <c r="AE15">
        <v>50691</v>
      </c>
      <c r="AF15" s="10">
        <v>2.13</v>
      </c>
    </row>
    <row r="16" spans="1:32" ht="16" customHeight="1" x14ac:dyDescent="0.25">
      <c r="A16" s="105" t="s">
        <v>1104</v>
      </c>
      <c r="B16" s="51"/>
      <c r="C16" s="52" t="s">
        <v>439</v>
      </c>
      <c r="D16" s="50">
        <v>42678</v>
      </c>
      <c r="E16" s="53" t="s">
        <v>440</v>
      </c>
      <c r="F16" s="54">
        <v>1.7050000000000001</v>
      </c>
      <c r="G16" s="54" t="s">
        <v>3</v>
      </c>
      <c r="H16" s="54">
        <v>1.72</v>
      </c>
      <c r="I16" s="54">
        <v>1.72</v>
      </c>
      <c r="J16" s="54">
        <v>1.7050000000000001</v>
      </c>
      <c r="K16" s="55">
        <v>-4.4999999999999998E-2</v>
      </c>
      <c r="L16" s="56">
        <v>-2.571E-2</v>
      </c>
      <c r="M16" s="56">
        <v>-0.13671</v>
      </c>
      <c r="N16" s="56">
        <v>5.901E-2</v>
      </c>
      <c r="O16" s="88">
        <v>1.61</v>
      </c>
      <c r="P16" s="88">
        <v>1.9750000000000001</v>
      </c>
      <c r="Q16" s="87" t="s">
        <v>3</v>
      </c>
      <c r="R16" s="57" t="s">
        <v>3</v>
      </c>
      <c r="S16" s="58" t="s">
        <v>3</v>
      </c>
      <c r="T16" s="58">
        <v>0</v>
      </c>
      <c r="U16" s="58" t="s">
        <v>3</v>
      </c>
      <c r="V16" s="58">
        <v>0</v>
      </c>
      <c r="W16" s="58" t="s">
        <v>3</v>
      </c>
      <c r="X16" s="59">
        <v>1.9790000000000001</v>
      </c>
      <c r="Y16" s="60">
        <v>-0.13841000000000001</v>
      </c>
      <c r="Z16" s="61">
        <v>1.9930000000000001</v>
      </c>
      <c r="AA16" s="62">
        <v>-0.14463999999999999</v>
      </c>
      <c r="AB16" s="102">
        <v>1941</v>
      </c>
      <c r="AC16">
        <v>1.7050000000000001</v>
      </c>
      <c r="AD16" s="10">
        <v>2599</v>
      </c>
      <c r="AE16">
        <v>40000</v>
      </c>
      <c r="AF16" s="10">
        <v>1.75</v>
      </c>
    </row>
    <row r="17" spans="1:32" ht="16" customHeight="1" x14ac:dyDescent="0.25">
      <c r="A17" s="105" t="s">
        <v>1105</v>
      </c>
      <c r="B17" s="51"/>
      <c r="C17" s="52" t="s">
        <v>441</v>
      </c>
      <c r="D17" s="50">
        <v>42678</v>
      </c>
      <c r="E17" s="53" t="s">
        <v>442</v>
      </c>
      <c r="F17" s="54">
        <v>0.2</v>
      </c>
      <c r="G17" s="54">
        <v>992733000</v>
      </c>
      <c r="H17" s="54">
        <v>0.2</v>
      </c>
      <c r="I17" s="54">
        <v>0.2</v>
      </c>
      <c r="J17" s="54">
        <v>0.19</v>
      </c>
      <c r="K17" s="55">
        <v>0</v>
      </c>
      <c r="L17" s="56">
        <v>0</v>
      </c>
      <c r="M17" s="56">
        <v>-0.42030000000000001</v>
      </c>
      <c r="N17" s="56">
        <v>3.8780000000000001</v>
      </c>
      <c r="O17" s="88">
        <v>0.04</v>
      </c>
      <c r="P17" s="88">
        <v>0.34</v>
      </c>
      <c r="Q17" s="87" t="s">
        <v>443</v>
      </c>
      <c r="R17" s="57" t="s">
        <v>3</v>
      </c>
      <c r="S17" s="58" t="s">
        <v>3</v>
      </c>
      <c r="T17" s="58">
        <v>0</v>
      </c>
      <c r="U17" s="58">
        <v>0</v>
      </c>
      <c r="V17" s="58" t="s">
        <v>444</v>
      </c>
      <c r="W17" s="58" t="s">
        <v>3</v>
      </c>
      <c r="X17" s="59">
        <v>0.22</v>
      </c>
      <c r="Y17" s="60">
        <v>-8.0699999999999994E-2</v>
      </c>
      <c r="Z17" s="61">
        <v>0.23</v>
      </c>
      <c r="AA17" s="62">
        <v>-0.1232</v>
      </c>
      <c r="AB17" s="102">
        <v>2519340</v>
      </c>
      <c r="AC17">
        <v>0.2</v>
      </c>
      <c r="AD17" s="10">
        <v>1850</v>
      </c>
      <c r="AE17">
        <v>3163964</v>
      </c>
      <c r="AF17" s="10">
        <v>0.2</v>
      </c>
    </row>
    <row r="18" spans="1:32" ht="16" customHeight="1" x14ac:dyDescent="0.25">
      <c r="A18" s="105" t="s">
        <v>1106</v>
      </c>
      <c r="B18" s="51"/>
      <c r="C18" s="52" t="s">
        <v>445</v>
      </c>
      <c r="D18" s="50">
        <v>42678</v>
      </c>
      <c r="E18" s="53" t="s">
        <v>411</v>
      </c>
      <c r="F18" s="54">
        <v>1.45</v>
      </c>
      <c r="G18" s="54">
        <v>82090000</v>
      </c>
      <c r="H18" s="54">
        <v>1.42</v>
      </c>
      <c r="I18" s="54">
        <v>1.49</v>
      </c>
      <c r="J18" s="54">
        <v>1.42</v>
      </c>
      <c r="K18" s="55">
        <v>0.04</v>
      </c>
      <c r="L18" s="56">
        <v>2.8400000000000002E-2</v>
      </c>
      <c r="M18" s="56">
        <v>-0.13689999999999999</v>
      </c>
      <c r="N18" s="56">
        <v>1.7619</v>
      </c>
      <c r="O18" s="88">
        <v>0.52</v>
      </c>
      <c r="P18" s="88">
        <v>1.68</v>
      </c>
      <c r="Q18" s="87" t="s">
        <v>416</v>
      </c>
      <c r="R18" s="57">
        <v>16.670000000000002</v>
      </c>
      <c r="S18" s="58" t="s">
        <v>3</v>
      </c>
      <c r="T18" s="58">
        <v>0.32</v>
      </c>
      <c r="U18" s="58">
        <v>0.09</v>
      </c>
      <c r="V18" s="58" t="s">
        <v>446</v>
      </c>
      <c r="W18" s="58" t="s">
        <v>3</v>
      </c>
      <c r="X18" s="59">
        <v>1.53</v>
      </c>
      <c r="Y18" s="60">
        <v>-5.5100000000000003E-2</v>
      </c>
      <c r="Z18" s="61">
        <v>1.26</v>
      </c>
      <c r="AA18" s="62">
        <v>0.15509999999999999</v>
      </c>
      <c r="AB18" s="102">
        <v>284966</v>
      </c>
      <c r="AC18">
        <v>1.45</v>
      </c>
      <c r="AD18" s="10">
        <v>132</v>
      </c>
      <c r="AE18">
        <v>118225</v>
      </c>
      <c r="AF18" s="10">
        <v>1.41</v>
      </c>
    </row>
    <row r="19" spans="1:32" ht="16" customHeight="1" x14ac:dyDescent="0.25">
      <c r="A19" s="105" t="s">
        <v>1107</v>
      </c>
      <c r="B19" s="51"/>
      <c r="C19" s="52" t="s">
        <v>447</v>
      </c>
      <c r="D19" s="50">
        <v>42678</v>
      </c>
      <c r="E19" s="53" t="s">
        <v>448</v>
      </c>
      <c r="F19" s="54">
        <v>0.14000000000000001</v>
      </c>
      <c r="G19" s="54">
        <v>1289668000</v>
      </c>
      <c r="H19" s="54">
        <v>0.14000000000000001</v>
      </c>
      <c r="I19" s="54">
        <v>0.14000000000000001</v>
      </c>
      <c r="J19" s="54">
        <v>0.14000000000000001</v>
      </c>
      <c r="K19" s="55">
        <v>0</v>
      </c>
      <c r="L19" s="56">
        <v>-3.4500000000000003E-2</v>
      </c>
      <c r="M19" s="56">
        <v>-0.51219999999999999</v>
      </c>
      <c r="N19" s="56">
        <v>0.12</v>
      </c>
      <c r="O19" s="88">
        <v>0.12</v>
      </c>
      <c r="P19" s="88">
        <v>0.28999999999999998</v>
      </c>
      <c r="Q19" s="87" t="s">
        <v>449</v>
      </c>
      <c r="R19" s="57" t="s">
        <v>3</v>
      </c>
      <c r="S19" s="58" t="s">
        <v>3</v>
      </c>
      <c r="T19" s="58">
        <v>0.22</v>
      </c>
      <c r="U19" s="58">
        <v>-7.0000000000000007E-2</v>
      </c>
      <c r="V19" s="58" t="s">
        <v>450</v>
      </c>
      <c r="W19" s="58" t="s">
        <v>3</v>
      </c>
      <c r="X19" s="59">
        <v>0.15</v>
      </c>
      <c r="Y19" s="60">
        <v>-8.48E-2</v>
      </c>
      <c r="Z19" s="61">
        <v>0.19</v>
      </c>
      <c r="AA19" s="62">
        <v>-0.26090000000000002</v>
      </c>
      <c r="AB19" s="102">
        <v>4290910</v>
      </c>
      <c r="AC19">
        <v>0.14000000000000001</v>
      </c>
      <c r="AD19" s="10">
        <v>19</v>
      </c>
      <c r="AE19">
        <v>2042876</v>
      </c>
      <c r="AF19" s="10">
        <v>0.14000000000000001</v>
      </c>
    </row>
    <row r="20" spans="1:32" ht="16" customHeight="1" x14ac:dyDescent="0.25">
      <c r="A20" s="105" t="s">
        <v>1108</v>
      </c>
      <c r="B20" s="51"/>
      <c r="C20" s="52" t="s">
        <v>451</v>
      </c>
      <c r="D20" s="50">
        <v>42678</v>
      </c>
      <c r="E20" s="53" t="s">
        <v>452</v>
      </c>
      <c r="F20" s="54">
        <v>1.51</v>
      </c>
      <c r="G20" s="54">
        <v>98836000</v>
      </c>
      <c r="H20" s="54">
        <v>1.52</v>
      </c>
      <c r="I20" s="54">
        <v>1.52</v>
      </c>
      <c r="J20" s="54">
        <v>1.51</v>
      </c>
      <c r="K20" s="55">
        <v>0</v>
      </c>
      <c r="L20" s="56">
        <v>0</v>
      </c>
      <c r="M20" s="56">
        <v>-0.1118</v>
      </c>
      <c r="N20" s="56">
        <v>0.11849999999999999</v>
      </c>
      <c r="O20" s="88">
        <v>1.35</v>
      </c>
      <c r="P20" s="88">
        <v>1.7</v>
      </c>
      <c r="Q20" s="87" t="s">
        <v>453</v>
      </c>
      <c r="R20" s="57">
        <v>8.0299999999999994</v>
      </c>
      <c r="S20" s="58" t="s">
        <v>3</v>
      </c>
      <c r="T20" s="58">
        <v>0.45</v>
      </c>
      <c r="U20" s="58">
        <v>0.19</v>
      </c>
      <c r="V20" s="58" t="s">
        <v>454</v>
      </c>
      <c r="W20" s="58" t="s">
        <v>3</v>
      </c>
      <c r="X20" s="59">
        <v>1.53</v>
      </c>
      <c r="Y20" s="60">
        <v>-1.18E-2</v>
      </c>
      <c r="Z20" s="61">
        <v>1.5</v>
      </c>
      <c r="AA20" s="62">
        <v>7.4999999999999997E-3</v>
      </c>
      <c r="AB20" s="102">
        <v>214632</v>
      </c>
      <c r="AC20">
        <v>1.51</v>
      </c>
      <c r="AD20" s="10">
        <v>100</v>
      </c>
      <c r="AE20">
        <v>10100</v>
      </c>
      <c r="AF20" s="10">
        <v>1.51</v>
      </c>
    </row>
    <row r="21" spans="1:32" ht="16" customHeight="1" x14ac:dyDescent="0.25">
      <c r="A21" s="105" t="s">
        <v>1109</v>
      </c>
      <c r="B21" s="51"/>
      <c r="C21" s="52" t="s">
        <v>455</v>
      </c>
      <c r="D21" s="50">
        <v>42678</v>
      </c>
      <c r="E21" s="53" t="s">
        <v>456</v>
      </c>
      <c r="F21" s="54">
        <v>3.07</v>
      </c>
      <c r="G21" s="54">
        <v>36581000</v>
      </c>
      <c r="H21" s="54">
        <v>3.12</v>
      </c>
      <c r="I21" s="54">
        <v>3.12</v>
      </c>
      <c r="J21" s="54">
        <v>3.07</v>
      </c>
      <c r="K21" s="55">
        <v>-0.05</v>
      </c>
      <c r="L21" s="56">
        <v>-1.6E-2</v>
      </c>
      <c r="M21" s="56">
        <v>-0.1472</v>
      </c>
      <c r="N21" s="56">
        <v>6.2300000000000001E-2</v>
      </c>
      <c r="O21" s="88">
        <v>2.89</v>
      </c>
      <c r="P21" s="88">
        <v>3.6</v>
      </c>
      <c r="Q21" s="87" t="s">
        <v>457</v>
      </c>
      <c r="R21" s="57">
        <v>16.78</v>
      </c>
      <c r="S21" s="58" t="s">
        <v>3</v>
      </c>
      <c r="T21" s="58">
        <v>-2.04</v>
      </c>
      <c r="U21" s="58">
        <v>0.18</v>
      </c>
      <c r="V21" s="58" t="s">
        <v>458</v>
      </c>
      <c r="W21" s="58" t="s">
        <v>3</v>
      </c>
      <c r="X21" s="59">
        <v>3.14</v>
      </c>
      <c r="Y21" s="60">
        <v>-2.3800000000000002E-2</v>
      </c>
      <c r="Z21" s="61">
        <v>3.29</v>
      </c>
      <c r="AA21" s="62">
        <v>-6.7799999999999999E-2</v>
      </c>
      <c r="AB21" s="102">
        <v>19466</v>
      </c>
      <c r="AC21">
        <v>3.07</v>
      </c>
      <c r="AD21" s="10">
        <v>1000</v>
      </c>
      <c r="AE21">
        <v>12087</v>
      </c>
      <c r="AF21" s="10">
        <v>3.12</v>
      </c>
    </row>
    <row r="22" spans="1:32" ht="16" customHeight="1" x14ac:dyDescent="0.25">
      <c r="A22" s="105" t="s">
        <v>1110</v>
      </c>
      <c r="B22" s="51"/>
      <c r="C22" s="52" t="s">
        <v>459</v>
      </c>
      <c r="D22" s="50">
        <v>42675</v>
      </c>
      <c r="E22" s="53" t="s">
        <v>460</v>
      </c>
      <c r="F22" s="54">
        <v>12.4</v>
      </c>
      <c r="G22" s="54">
        <v>1136000</v>
      </c>
      <c r="H22" s="54">
        <v>12.4</v>
      </c>
      <c r="I22" s="54">
        <v>12.4</v>
      </c>
      <c r="J22" s="54">
        <v>12.4</v>
      </c>
      <c r="K22" s="55">
        <v>0</v>
      </c>
      <c r="L22" s="56">
        <v>0</v>
      </c>
      <c r="M22" s="56">
        <v>0</v>
      </c>
      <c r="N22" s="56">
        <v>1.48</v>
      </c>
      <c r="O22" s="88">
        <v>5</v>
      </c>
      <c r="P22" s="88">
        <v>12.4</v>
      </c>
      <c r="Q22" s="87" t="s">
        <v>461</v>
      </c>
      <c r="R22" s="57">
        <v>3.08</v>
      </c>
      <c r="S22" s="58" t="s">
        <v>3</v>
      </c>
      <c r="T22" s="58">
        <v>0</v>
      </c>
      <c r="U22" s="58">
        <v>4.0199999999999996</v>
      </c>
      <c r="V22" s="58" t="s">
        <v>462</v>
      </c>
      <c r="W22" s="58" t="s">
        <v>3</v>
      </c>
      <c r="X22" s="59">
        <v>9.5</v>
      </c>
      <c r="Y22" s="60">
        <v>0.30530000000000002</v>
      </c>
      <c r="Z22" s="61">
        <v>8.25</v>
      </c>
      <c r="AA22" s="62">
        <v>0.50370000000000004</v>
      </c>
      <c r="AB22" s="102" t="s">
        <v>3</v>
      </c>
      <c r="AC22">
        <v>12.4</v>
      </c>
      <c r="AD22" s="10">
        <v>4900</v>
      </c>
      <c r="AE22">
        <v>4900</v>
      </c>
      <c r="AF22" s="10">
        <v>12.4</v>
      </c>
    </row>
    <row r="23" spans="1:32" ht="16" customHeight="1" x14ac:dyDescent="0.25">
      <c r="A23" s="105" t="s">
        <v>1111</v>
      </c>
      <c r="B23" s="51"/>
      <c r="C23" s="52" t="s">
        <v>463</v>
      </c>
      <c r="D23" s="50">
        <v>42678</v>
      </c>
      <c r="E23" s="53" t="s">
        <v>464</v>
      </c>
      <c r="F23" s="54">
        <v>0.315</v>
      </c>
      <c r="G23" s="54">
        <v>491950000</v>
      </c>
      <c r="H23" s="54">
        <v>0.32</v>
      </c>
      <c r="I23" s="54">
        <v>0.33</v>
      </c>
      <c r="J23" s="54">
        <v>0.315</v>
      </c>
      <c r="K23" s="55">
        <v>0</v>
      </c>
      <c r="L23" s="56">
        <v>0</v>
      </c>
      <c r="M23" s="56">
        <v>-0.24096000000000001</v>
      </c>
      <c r="N23" s="56">
        <v>8</v>
      </c>
      <c r="O23" s="88">
        <v>3.5000000000000003E-2</v>
      </c>
      <c r="P23" s="88">
        <v>0.41499999999999998</v>
      </c>
      <c r="Q23" s="87" t="s">
        <v>465</v>
      </c>
      <c r="R23" s="57">
        <v>5.8330000000000002</v>
      </c>
      <c r="S23" s="58" t="s">
        <v>3</v>
      </c>
      <c r="T23" s="58">
        <v>0</v>
      </c>
      <c r="U23" s="58">
        <v>5.3999999999999999E-2</v>
      </c>
      <c r="V23" s="58" t="s">
        <v>466</v>
      </c>
      <c r="W23" s="58" t="s">
        <v>3</v>
      </c>
      <c r="X23" s="59">
        <v>0.308</v>
      </c>
      <c r="Y23" s="60">
        <v>2.2370000000000001E-2</v>
      </c>
      <c r="Z23" s="61">
        <v>0.24</v>
      </c>
      <c r="AA23" s="62">
        <v>0.31120999999999999</v>
      </c>
      <c r="AB23" s="102">
        <v>2844740</v>
      </c>
      <c r="AC23">
        <v>0.315</v>
      </c>
      <c r="AD23" s="10">
        <v>1667</v>
      </c>
      <c r="AE23">
        <v>2139890</v>
      </c>
      <c r="AF23" s="10">
        <v>0.315</v>
      </c>
    </row>
    <row r="24" spans="1:32" ht="16" customHeight="1" x14ac:dyDescent="0.25">
      <c r="A24" s="105" t="s">
        <v>1112</v>
      </c>
      <c r="B24" s="51"/>
      <c r="C24" s="52" t="s">
        <v>467</v>
      </c>
      <c r="D24" s="50">
        <v>42678</v>
      </c>
      <c r="E24" s="53" t="s">
        <v>411</v>
      </c>
      <c r="F24" s="54">
        <v>1.2250000000000001</v>
      </c>
      <c r="G24" s="54">
        <v>73217000</v>
      </c>
      <c r="H24" s="54">
        <v>1.2450000000000001</v>
      </c>
      <c r="I24" s="54">
        <v>1.2450000000000001</v>
      </c>
      <c r="J24" s="54">
        <v>1.2150000000000001</v>
      </c>
      <c r="K24" s="55">
        <v>-1.4999999999999999E-2</v>
      </c>
      <c r="L24" s="56">
        <v>-1.21E-2</v>
      </c>
      <c r="M24" s="56">
        <v>-0.67762999999999995</v>
      </c>
      <c r="N24" s="56">
        <v>1.5789500000000001</v>
      </c>
      <c r="O24" s="88">
        <v>0.47499999999999998</v>
      </c>
      <c r="P24" s="88">
        <v>3.8</v>
      </c>
      <c r="Q24" s="87" t="s">
        <v>468</v>
      </c>
      <c r="R24" s="57" t="s">
        <v>3</v>
      </c>
      <c r="S24" s="58" t="s">
        <v>3</v>
      </c>
      <c r="T24" s="58">
        <v>0.34</v>
      </c>
      <c r="U24" s="58">
        <v>-0.12</v>
      </c>
      <c r="V24" s="58" t="s">
        <v>469</v>
      </c>
      <c r="W24" s="58" t="s">
        <v>3</v>
      </c>
      <c r="X24" s="59">
        <v>1.232</v>
      </c>
      <c r="Y24" s="60">
        <v>-5.6499999999999996E-3</v>
      </c>
      <c r="Z24" s="61">
        <v>1.3680000000000001</v>
      </c>
      <c r="AA24" s="62">
        <v>-0.10458000000000001</v>
      </c>
      <c r="AB24" s="102">
        <v>201534</v>
      </c>
      <c r="AC24">
        <v>1.2250000000000001</v>
      </c>
      <c r="AD24" s="10">
        <v>20</v>
      </c>
      <c r="AE24">
        <v>6193</v>
      </c>
      <c r="AF24" s="10">
        <v>1.24</v>
      </c>
    </row>
    <row r="25" spans="1:32" ht="16" customHeight="1" x14ac:dyDescent="0.25">
      <c r="A25" s="105" t="s">
        <v>1113</v>
      </c>
      <c r="B25" s="51"/>
      <c r="C25" s="52" t="s">
        <v>470</v>
      </c>
      <c r="D25" s="50">
        <v>42678</v>
      </c>
      <c r="E25" s="53" t="s">
        <v>407</v>
      </c>
      <c r="F25" s="54">
        <v>1.51</v>
      </c>
      <c r="G25" s="54">
        <v>70092000</v>
      </c>
      <c r="H25" s="54">
        <v>1.53</v>
      </c>
      <c r="I25" s="54">
        <v>1.6</v>
      </c>
      <c r="J25" s="54">
        <v>1.51</v>
      </c>
      <c r="K25" s="55">
        <v>0.03</v>
      </c>
      <c r="L25" s="56">
        <v>2.0299999999999999E-2</v>
      </c>
      <c r="M25" s="56">
        <v>-0.45290000000000002</v>
      </c>
      <c r="N25" s="56">
        <v>4.1399999999999999E-2</v>
      </c>
      <c r="O25" s="88">
        <v>1.45</v>
      </c>
      <c r="P25" s="88">
        <v>2.76</v>
      </c>
      <c r="Q25" s="87" t="s">
        <v>471</v>
      </c>
      <c r="R25" s="57">
        <v>9.2100000000000009</v>
      </c>
      <c r="S25" s="58" t="s">
        <v>3</v>
      </c>
      <c r="T25" s="58">
        <v>0.97</v>
      </c>
      <c r="U25" s="58">
        <v>0.16</v>
      </c>
      <c r="V25" s="58" t="s">
        <v>472</v>
      </c>
      <c r="W25" s="58" t="s">
        <v>3</v>
      </c>
      <c r="X25" s="59">
        <v>2.54</v>
      </c>
      <c r="Y25" s="60">
        <v>-0.40539999999999998</v>
      </c>
      <c r="Z25" s="61">
        <v>2.48</v>
      </c>
      <c r="AA25" s="62">
        <v>-0.39169999999999999</v>
      </c>
      <c r="AB25" s="102">
        <v>479864</v>
      </c>
      <c r="AC25">
        <v>1.51</v>
      </c>
      <c r="AD25" s="10">
        <v>504</v>
      </c>
      <c r="AE25">
        <v>1624762</v>
      </c>
      <c r="AF25" s="10">
        <v>1.48</v>
      </c>
    </row>
    <row r="26" spans="1:32" ht="16" customHeight="1" x14ac:dyDescent="0.25">
      <c r="A26" s="105" t="s">
        <v>1114</v>
      </c>
      <c r="B26" s="51"/>
      <c r="C26" s="52" t="s">
        <v>473</v>
      </c>
      <c r="D26" s="50">
        <v>42678</v>
      </c>
      <c r="E26" s="53" t="s">
        <v>407</v>
      </c>
      <c r="F26" s="54">
        <v>1.625</v>
      </c>
      <c r="G26" s="54">
        <v>54162000</v>
      </c>
      <c r="H26" s="54">
        <v>1.53</v>
      </c>
      <c r="I26" s="54">
        <v>1.627</v>
      </c>
      <c r="J26" s="54">
        <v>1.52</v>
      </c>
      <c r="K26" s="55">
        <v>0.02</v>
      </c>
      <c r="L26" s="56">
        <v>1.2460000000000001E-2</v>
      </c>
      <c r="M26" s="56">
        <v>-0.20732</v>
      </c>
      <c r="N26" s="56">
        <v>1.2569399999999999</v>
      </c>
      <c r="O26" s="88">
        <v>0.72</v>
      </c>
      <c r="P26" s="88">
        <v>2.0499999999999998</v>
      </c>
      <c r="Q26" s="87" t="s">
        <v>474</v>
      </c>
      <c r="R26" s="57">
        <v>12.897</v>
      </c>
      <c r="S26" s="58" t="s">
        <v>3</v>
      </c>
      <c r="T26" s="58">
        <v>0</v>
      </c>
      <c r="U26" s="58">
        <v>0.126</v>
      </c>
      <c r="V26" s="58" t="s">
        <v>475</v>
      </c>
      <c r="W26" s="58" t="s">
        <v>3</v>
      </c>
      <c r="X26" s="59">
        <v>1.7250000000000001</v>
      </c>
      <c r="Y26" s="60">
        <v>-5.8119999999999998E-2</v>
      </c>
      <c r="Z26" s="61">
        <v>1.2889999999999999</v>
      </c>
      <c r="AA26" s="62">
        <v>0.26033000000000001</v>
      </c>
      <c r="AB26" s="102">
        <v>362603</v>
      </c>
      <c r="AC26">
        <v>1.625</v>
      </c>
      <c r="AD26" s="10">
        <v>259</v>
      </c>
      <c r="AE26">
        <v>330931</v>
      </c>
      <c r="AF26" s="10">
        <v>1.605</v>
      </c>
    </row>
    <row r="27" spans="1:32" ht="16" customHeight="1" x14ac:dyDescent="0.25">
      <c r="A27" s="105" t="s">
        <v>1115</v>
      </c>
      <c r="B27" s="51"/>
      <c r="C27" s="52" t="s">
        <v>476</v>
      </c>
      <c r="D27" s="50">
        <v>42678</v>
      </c>
      <c r="E27" s="53" t="s">
        <v>407</v>
      </c>
      <c r="F27" s="54">
        <v>1.627</v>
      </c>
      <c r="G27" s="54">
        <v>113165000</v>
      </c>
      <c r="H27" s="54">
        <v>1.54</v>
      </c>
      <c r="I27" s="54">
        <v>1.63</v>
      </c>
      <c r="J27" s="54">
        <v>1.53</v>
      </c>
      <c r="K27" s="55">
        <v>5.7000000000000002E-2</v>
      </c>
      <c r="L27" s="56">
        <v>3.6310000000000002E-2</v>
      </c>
      <c r="M27" s="56">
        <v>-0.16564000000000001</v>
      </c>
      <c r="N27" s="56">
        <v>0.92544000000000004</v>
      </c>
      <c r="O27" s="88">
        <v>0.84499999999999997</v>
      </c>
      <c r="P27" s="88">
        <v>1.95</v>
      </c>
      <c r="Q27" s="87" t="s">
        <v>477</v>
      </c>
      <c r="R27" s="57">
        <v>13.446</v>
      </c>
      <c r="S27" s="58" t="s">
        <v>3</v>
      </c>
      <c r="T27" s="58">
        <v>0</v>
      </c>
      <c r="U27" s="58">
        <v>0.121</v>
      </c>
      <c r="V27" s="58" t="s">
        <v>478</v>
      </c>
      <c r="W27" s="58" t="s">
        <v>3</v>
      </c>
      <c r="X27" s="59">
        <v>1.712</v>
      </c>
      <c r="Y27" s="60">
        <v>-4.9889999999999997E-2</v>
      </c>
      <c r="Z27" s="61">
        <v>1.3129999999999999</v>
      </c>
      <c r="AA27" s="62">
        <v>0.23874000000000001</v>
      </c>
      <c r="AB27" s="102">
        <v>482020</v>
      </c>
      <c r="AC27">
        <v>1.627</v>
      </c>
      <c r="AD27" s="10">
        <v>225</v>
      </c>
      <c r="AE27">
        <v>462170</v>
      </c>
      <c r="AF27" s="10">
        <v>1.57</v>
      </c>
    </row>
    <row r="28" spans="1:32" ht="16" customHeight="1" x14ac:dyDescent="0.25">
      <c r="A28" s="105" t="s">
        <v>1116</v>
      </c>
      <c r="C28" s="2" t="s">
        <v>479</v>
      </c>
      <c r="D28" s="7">
        <v>42678</v>
      </c>
      <c r="E28" s="4" t="s">
        <v>480</v>
      </c>
      <c r="F28" s="8">
        <v>5.05</v>
      </c>
      <c r="G28" s="8">
        <v>24690000</v>
      </c>
      <c r="H28" s="8">
        <v>5</v>
      </c>
      <c r="I28" s="8">
        <v>5.05</v>
      </c>
      <c r="J28" s="8">
        <v>5</v>
      </c>
      <c r="K28" s="11">
        <v>-0.05</v>
      </c>
      <c r="L28" s="6">
        <v>-9.7999999999999997E-3</v>
      </c>
      <c r="M28" s="6">
        <v>-0.1293</v>
      </c>
      <c r="N28" s="6">
        <v>0.67769999999999997</v>
      </c>
      <c r="O28" s="89">
        <v>3.01</v>
      </c>
      <c r="P28" s="89">
        <v>5.8</v>
      </c>
      <c r="Q28" s="6" t="s">
        <v>481</v>
      </c>
      <c r="R28" s="9">
        <v>29.71</v>
      </c>
      <c r="S28" s="3" t="s">
        <v>3</v>
      </c>
      <c r="T28" s="3">
        <v>0</v>
      </c>
      <c r="U28" s="90">
        <v>0.17</v>
      </c>
      <c r="V28" s="90" t="s">
        <v>482</v>
      </c>
      <c r="W28" s="90" t="s">
        <v>3</v>
      </c>
      <c r="X28" s="10">
        <v>5.27</v>
      </c>
      <c r="Y28" s="6">
        <v>-4.2099999999999999E-2</v>
      </c>
      <c r="Z28" s="10">
        <v>5.08</v>
      </c>
      <c r="AA28" s="6">
        <v>-5.5999999999999999E-3</v>
      </c>
      <c r="AB28" s="102">
        <v>65327</v>
      </c>
      <c r="AC28">
        <v>5.05</v>
      </c>
      <c r="AD28" s="10">
        <v>124</v>
      </c>
      <c r="AE28">
        <v>3116</v>
      </c>
      <c r="AF28" s="10">
        <v>5.0999999999999996</v>
      </c>
    </row>
    <row r="29" spans="1:32" ht="16" customHeight="1" thickBot="1" x14ac:dyDescent="0.5">
      <c r="A29" s="105" t="s">
        <v>1117</v>
      </c>
      <c r="C29" s="78" t="s">
        <v>483</v>
      </c>
      <c r="D29" s="50">
        <v>42678</v>
      </c>
      <c r="E29" s="4" t="s">
        <v>411</v>
      </c>
      <c r="F29" s="8">
        <v>6.2</v>
      </c>
      <c r="G29" s="8">
        <v>20885000</v>
      </c>
      <c r="H29" s="8">
        <v>6.4</v>
      </c>
      <c r="I29" s="8">
        <v>6.4</v>
      </c>
      <c r="J29" s="8">
        <v>6.2</v>
      </c>
      <c r="K29" s="11">
        <v>-0.2</v>
      </c>
      <c r="L29" s="6">
        <v>-3.1300000000000001E-2</v>
      </c>
      <c r="M29" s="6">
        <v>-0.1484</v>
      </c>
      <c r="N29" s="6">
        <v>0.74650000000000005</v>
      </c>
      <c r="O29" s="89">
        <v>3.55</v>
      </c>
      <c r="P29" s="89">
        <v>7.28</v>
      </c>
      <c r="Q29" s="6" t="s">
        <v>484</v>
      </c>
      <c r="R29" s="9" t="s">
        <v>3</v>
      </c>
      <c r="S29" s="3" t="s">
        <v>3</v>
      </c>
      <c r="T29" s="3">
        <v>0</v>
      </c>
      <c r="U29" s="90">
        <v>-0.33</v>
      </c>
      <c r="V29" s="90" t="s">
        <v>485</v>
      </c>
      <c r="W29" s="90" t="s">
        <v>3</v>
      </c>
      <c r="X29" s="10">
        <v>6.57</v>
      </c>
      <c r="Y29" s="6">
        <v>-5.62E-2</v>
      </c>
      <c r="Z29" s="10">
        <v>5.16</v>
      </c>
      <c r="AA29" s="6">
        <v>0.20250000000000001</v>
      </c>
      <c r="AB29" s="102">
        <v>35817</v>
      </c>
      <c r="AC29">
        <v>6.2</v>
      </c>
      <c r="AD29" s="10">
        <v>77</v>
      </c>
      <c r="AE29">
        <v>5248</v>
      </c>
      <c r="AF29" s="10">
        <v>6.4</v>
      </c>
    </row>
    <row r="30" spans="1:32" ht="16" customHeight="1" thickTop="1" x14ac:dyDescent="0.25">
      <c r="A30" s="105" t="s">
        <v>1118</v>
      </c>
      <c r="C30" s="49" t="s">
        <v>486</v>
      </c>
      <c r="D30" s="50">
        <v>42678</v>
      </c>
      <c r="E30" s="3" t="s">
        <v>456</v>
      </c>
      <c r="F30" s="3">
        <v>1.63</v>
      </c>
      <c r="G30" s="3">
        <v>97461000</v>
      </c>
      <c r="H30" s="3">
        <v>1.63</v>
      </c>
      <c r="I30" s="2">
        <v>1.63</v>
      </c>
      <c r="J30" s="4">
        <v>1.62</v>
      </c>
      <c r="K30" s="1">
        <v>-0.02</v>
      </c>
      <c r="L30" s="6">
        <v>-1.21E-2</v>
      </c>
      <c r="M30" s="6">
        <v>-0.151</v>
      </c>
      <c r="N30" s="6">
        <v>0.29370000000000002</v>
      </c>
      <c r="O30" s="89">
        <v>1.26</v>
      </c>
      <c r="P30" s="89">
        <v>1.92</v>
      </c>
      <c r="Q30" s="6" t="s">
        <v>487</v>
      </c>
      <c r="R30" s="9">
        <v>19.88</v>
      </c>
      <c r="S30" s="3" t="s">
        <v>3</v>
      </c>
      <c r="T30" s="3">
        <v>1.72</v>
      </c>
      <c r="U30" s="90">
        <v>0.08</v>
      </c>
      <c r="V30" s="90" t="s">
        <v>488</v>
      </c>
      <c r="W30" s="90" t="s">
        <v>3</v>
      </c>
      <c r="X30" s="10">
        <v>1.58</v>
      </c>
      <c r="Y30" s="6">
        <v>3.4200000000000001E-2</v>
      </c>
      <c r="Z30" s="10">
        <v>1.56</v>
      </c>
      <c r="AA30" s="6">
        <v>4.6199999999999998E-2</v>
      </c>
      <c r="AB30" s="102">
        <v>154061</v>
      </c>
      <c r="AC30">
        <v>1.63</v>
      </c>
      <c r="AD30" s="10">
        <v>58</v>
      </c>
      <c r="AE30">
        <v>1868</v>
      </c>
      <c r="AF30" s="10">
        <v>1.65</v>
      </c>
    </row>
    <row r="31" spans="1:32" ht="16" customHeight="1" x14ac:dyDescent="0.25">
      <c r="A31" s="105" t="s">
        <v>1119</v>
      </c>
      <c r="C31" s="49" t="s">
        <v>489</v>
      </c>
      <c r="D31" s="91">
        <v>42678</v>
      </c>
      <c r="E31" s="3" t="s">
        <v>490</v>
      </c>
      <c r="F31" s="3">
        <v>0.61499999999999999</v>
      </c>
      <c r="G31" s="3">
        <v>152922000</v>
      </c>
      <c r="H31" s="3">
        <v>0.61</v>
      </c>
      <c r="I31" s="2">
        <v>0.61499999999999999</v>
      </c>
      <c r="J31" s="4">
        <v>0.6</v>
      </c>
      <c r="K31" s="1">
        <v>-5.0000000000000001E-3</v>
      </c>
      <c r="L31" s="6">
        <v>-8.0599999999999995E-3</v>
      </c>
      <c r="M31" s="6">
        <v>-0.15171999999999999</v>
      </c>
      <c r="N31" s="6">
        <v>0.23</v>
      </c>
      <c r="O31" s="89">
        <v>0.5</v>
      </c>
      <c r="P31" s="89">
        <v>0.72499999999999998</v>
      </c>
      <c r="Q31" s="6" t="s">
        <v>491</v>
      </c>
      <c r="R31" s="9">
        <v>5.7480000000000002</v>
      </c>
      <c r="S31" s="3" t="s">
        <v>3</v>
      </c>
      <c r="T31" s="3">
        <v>-3.66</v>
      </c>
      <c r="U31" s="90">
        <v>0.107</v>
      </c>
      <c r="V31" s="90" t="s">
        <v>492</v>
      </c>
      <c r="W31" s="90" t="s">
        <v>3</v>
      </c>
      <c r="X31" s="10">
        <v>0.61899999999999999</v>
      </c>
      <c r="Y31" s="6">
        <v>-7.1999999999999998E-3</v>
      </c>
      <c r="Z31" s="10">
        <v>0.60099999999999998</v>
      </c>
      <c r="AA31" s="6">
        <v>2.3910000000000001E-2</v>
      </c>
      <c r="AB31" s="102">
        <v>269694</v>
      </c>
      <c r="AC31">
        <v>0.61499999999999999</v>
      </c>
      <c r="AD31" s="10">
        <v>2000</v>
      </c>
      <c r="AE31">
        <v>23500</v>
      </c>
      <c r="AF31" s="10">
        <v>0.62</v>
      </c>
    </row>
    <row r="32" spans="1:32" ht="16" customHeight="1" x14ac:dyDescent="0.25">
      <c r="A32" s="105" t="s">
        <v>1120</v>
      </c>
      <c r="C32" s="3" t="s">
        <v>493</v>
      </c>
      <c r="D32" s="91">
        <v>42678</v>
      </c>
      <c r="E32" s="3" t="s">
        <v>494</v>
      </c>
      <c r="F32" s="3">
        <v>3.4</v>
      </c>
      <c r="G32" s="3">
        <v>46101000</v>
      </c>
      <c r="H32" s="3">
        <v>3.27</v>
      </c>
      <c r="I32" s="2">
        <v>3.4</v>
      </c>
      <c r="J32" s="4">
        <v>3.27</v>
      </c>
      <c r="K32" s="1">
        <v>0.13</v>
      </c>
      <c r="L32" s="6">
        <v>3.9800000000000002E-2</v>
      </c>
      <c r="M32" s="6">
        <v>-5.7999999999999996E-3</v>
      </c>
      <c r="N32" s="6">
        <v>0.87849999999999995</v>
      </c>
      <c r="O32" s="89">
        <v>1.81</v>
      </c>
      <c r="P32" s="89">
        <v>3.42</v>
      </c>
      <c r="Q32" s="6" t="s">
        <v>495</v>
      </c>
      <c r="R32" s="9">
        <v>34.69</v>
      </c>
      <c r="S32" s="3" t="s">
        <v>3</v>
      </c>
      <c r="T32" s="3">
        <v>0</v>
      </c>
      <c r="U32" s="90">
        <v>0.1</v>
      </c>
      <c r="V32" s="90" t="s">
        <v>496</v>
      </c>
      <c r="W32" s="90" t="s">
        <v>3</v>
      </c>
      <c r="X32" s="10">
        <v>3.15</v>
      </c>
      <c r="Y32" s="6">
        <v>7.7799999999999994E-2</v>
      </c>
      <c r="Z32" s="10">
        <v>2.86</v>
      </c>
      <c r="AA32" s="6">
        <v>0.18990000000000001</v>
      </c>
      <c r="AB32" s="102">
        <v>45072</v>
      </c>
      <c r="AC32">
        <v>3.4</v>
      </c>
      <c r="AD32" s="10">
        <v>5000</v>
      </c>
      <c r="AE32">
        <v>53417</v>
      </c>
      <c r="AF32" s="10">
        <v>3.27</v>
      </c>
    </row>
    <row r="33" spans="1:32" ht="16" customHeight="1" x14ac:dyDescent="0.25">
      <c r="A33" s="105" t="s">
        <v>1121</v>
      </c>
      <c r="C33" s="3" t="s">
        <v>497</v>
      </c>
      <c r="D33" s="91">
        <v>42678</v>
      </c>
      <c r="E33" s="3" t="s">
        <v>498</v>
      </c>
      <c r="F33" s="3">
        <v>0.95</v>
      </c>
      <c r="G33" s="3">
        <v>242164000</v>
      </c>
      <c r="H33" s="3">
        <v>0.95</v>
      </c>
      <c r="I33" s="2">
        <v>0.95</v>
      </c>
      <c r="J33" s="4">
        <v>0.95</v>
      </c>
      <c r="K33" s="1">
        <v>0.01</v>
      </c>
      <c r="L33" s="6">
        <v>1.06E-2</v>
      </c>
      <c r="M33" s="6">
        <v>-5.9400000000000001E-2</v>
      </c>
      <c r="N33" s="6">
        <v>3.8300000000000001E-2</v>
      </c>
      <c r="O33" s="89">
        <v>0.92</v>
      </c>
      <c r="P33" s="89">
        <v>1.01</v>
      </c>
      <c r="Q33" s="6" t="s">
        <v>499</v>
      </c>
      <c r="R33" s="9">
        <v>31.67</v>
      </c>
      <c r="S33" s="3" t="s">
        <v>3</v>
      </c>
      <c r="T33" s="3">
        <v>0</v>
      </c>
      <c r="U33" s="90">
        <v>0.03</v>
      </c>
      <c r="V33" s="90">
        <v>0</v>
      </c>
      <c r="W33" s="90" t="s">
        <v>3</v>
      </c>
      <c r="X33" s="10">
        <v>1</v>
      </c>
      <c r="Y33" s="6">
        <v>-4.7E-2</v>
      </c>
      <c r="Z33" s="10">
        <v>1</v>
      </c>
      <c r="AA33" s="6">
        <v>-5.1499999999999997E-2</v>
      </c>
      <c r="AB33" s="102">
        <v>4310</v>
      </c>
      <c r="AC33">
        <v>0.95</v>
      </c>
      <c r="AD33" s="10">
        <v>50000</v>
      </c>
      <c r="AE33">
        <v>60638</v>
      </c>
      <c r="AF33" s="10">
        <v>0.94</v>
      </c>
    </row>
    <row r="34" spans="1:32" ht="16" customHeight="1" x14ac:dyDescent="0.25">
      <c r="A34" s="105" t="s">
        <v>1122</v>
      </c>
      <c r="C34" s="3" t="s">
        <v>500</v>
      </c>
      <c r="D34" s="91">
        <v>42677</v>
      </c>
      <c r="E34" s="3" t="s">
        <v>501</v>
      </c>
      <c r="F34" s="3">
        <v>0.91500000000000004</v>
      </c>
      <c r="G34" s="3">
        <v>180381000</v>
      </c>
      <c r="H34" s="3">
        <v>0.93500000000000005</v>
      </c>
      <c r="I34" s="2">
        <v>0.93500000000000005</v>
      </c>
      <c r="J34" s="4">
        <v>0.91500000000000004</v>
      </c>
      <c r="K34" s="1">
        <v>0</v>
      </c>
      <c r="L34" s="6">
        <v>0</v>
      </c>
      <c r="M34" s="6">
        <v>-0.11594</v>
      </c>
      <c r="N34" s="6">
        <v>0.10241</v>
      </c>
      <c r="O34" s="89">
        <v>0.83</v>
      </c>
      <c r="P34" s="89">
        <v>1.0349999999999999</v>
      </c>
      <c r="Q34" s="6" t="s">
        <v>502</v>
      </c>
      <c r="R34" s="9">
        <v>29.515999999999998</v>
      </c>
      <c r="S34" s="3" t="s">
        <v>3</v>
      </c>
      <c r="T34" s="3">
        <v>0</v>
      </c>
      <c r="U34" s="90">
        <v>3.1E-2</v>
      </c>
      <c r="V34" s="90">
        <v>0</v>
      </c>
      <c r="W34" s="90" t="s">
        <v>3</v>
      </c>
      <c r="X34" s="10">
        <v>0.94199999999999995</v>
      </c>
      <c r="Y34" s="6">
        <v>-2.818E-2</v>
      </c>
      <c r="Z34" s="10">
        <v>0.94099999999999995</v>
      </c>
      <c r="AA34" s="6">
        <v>-2.809E-2</v>
      </c>
      <c r="AB34" s="102">
        <v>7418</v>
      </c>
      <c r="AC34">
        <v>0.91500000000000004</v>
      </c>
      <c r="AD34" s="10">
        <v>5000</v>
      </c>
      <c r="AE34">
        <v>201034</v>
      </c>
      <c r="AF34" s="10">
        <v>0.91500000000000004</v>
      </c>
    </row>
    <row r="35" spans="1:32" ht="16" customHeight="1" x14ac:dyDescent="0.25">
      <c r="A35" s="105" t="s">
        <v>1123</v>
      </c>
      <c r="C35" s="3" t="s">
        <v>503</v>
      </c>
      <c r="D35" s="91">
        <v>42678</v>
      </c>
      <c r="E35" s="3" t="s">
        <v>504</v>
      </c>
      <c r="F35" s="3">
        <v>66.099999999999994</v>
      </c>
      <c r="G35" s="3" t="s">
        <v>3</v>
      </c>
      <c r="H35" s="3">
        <v>66.209999999999994</v>
      </c>
      <c r="I35" s="2">
        <v>66.31</v>
      </c>
      <c r="J35" s="4">
        <v>65.989999999999995</v>
      </c>
      <c r="K35" s="1">
        <v>-0.41</v>
      </c>
      <c r="L35" s="6">
        <v>-6.1999999999999998E-3</v>
      </c>
      <c r="M35" s="6">
        <v>-7.6600000000000001E-2</v>
      </c>
      <c r="N35" s="6">
        <v>0.1081</v>
      </c>
      <c r="O35" s="89">
        <v>59.65</v>
      </c>
      <c r="P35" s="89">
        <v>71.58</v>
      </c>
      <c r="Q35" s="6" t="s">
        <v>3</v>
      </c>
      <c r="R35" s="9" t="s">
        <v>3</v>
      </c>
      <c r="S35" s="3" t="s">
        <v>3</v>
      </c>
      <c r="T35" s="3">
        <v>0</v>
      </c>
      <c r="U35" s="90" t="s">
        <v>3</v>
      </c>
      <c r="V35" s="90" t="s">
        <v>3</v>
      </c>
      <c r="W35" s="90" t="s">
        <v>3</v>
      </c>
      <c r="X35" s="10">
        <v>68.94</v>
      </c>
      <c r="Y35" s="6">
        <v>-4.1300000000000003E-2</v>
      </c>
      <c r="Z35" s="10">
        <v>68.569999999999993</v>
      </c>
      <c r="AA35" s="6">
        <v>-3.5999999999999997E-2</v>
      </c>
      <c r="AB35" s="102">
        <v>38209</v>
      </c>
      <c r="AC35">
        <v>66.099999999999994</v>
      </c>
      <c r="AD35" s="10">
        <v>291</v>
      </c>
      <c r="AE35">
        <v>86374</v>
      </c>
      <c r="AF35" s="10">
        <v>66.510000000000005</v>
      </c>
    </row>
    <row r="36" spans="1:32" ht="16" customHeight="1" x14ac:dyDescent="0.25">
      <c r="A36" s="105" t="s">
        <v>1124</v>
      </c>
      <c r="C36" s="3" t="s">
        <v>505</v>
      </c>
      <c r="D36" s="91">
        <v>42678</v>
      </c>
      <c r="E36" s="3" t="s">
        <v>506</v>
      </c>
      <c r="F36" s="3">
        <v>0.76</v>
      </c>
      <c r="G36" s="3">
        <v>270082000</v>
      </c>
      <c r="H36" s="3">
        <v>0.77</v>
      </c>
      <c r="I36" s="2">
        <v>0.77</v>
      </c>
      <c r="J36" s="4">
        <v>0.75</v>
      </c>
      <c r="K36" s="1">
        <v>0.01</v>
      </c>
      <c r="L36" s="6">
        <v>2.01E-2</v>
      </c>
      <c r="M36" s="6">
        <v>-0.10059999999999999</v>
      </c>
      <c r="N36" s="6">
        <v>0.55100000000000005</v>
      </c>
      <c r="O36" s="89">
        <v>0.49</v>
      </c>
      <c r="P36" s="89">
        <v>0.85</v>
      </c>
      <c r="Q36" s="6" t="s">
        <v>507</v>
      </c>
      <c r="R36" s="9">
        <v>23.03</v>
      </c>
      <c r="S36" s="3" t="s">
        <v>3</v>
      </c>
      <c r="T36" s="3">
        <v>1.19</v>
      </c>
      <c r="U36" s="90">
        <v>0.03</v>
      </c>
      <c r="V36" s="90" t="s">
        <v>508</v>
      </c>
      <c r="W36" s="90" t="s">
        <v>3</v>
      </c>
      <c r="X36" s="10">
        <v>0.76</v>
      </c>
      <c r="Y36" s="6">
        <v>-5.0000000000000001E-3</v>
      </c>
      <c r="Z36" s="10">
        <v>0.66</v>
      </c>
      <c r="AA36" s="6">
        <v>0.14560000000000001</v>
      </c>
      <c r="AB36" s="102">
        <v>838464</v>
      </c>
      <c r="AC36">
        <v>0.76</v>
      </c>
      <c r="AD36" s="10">
        <v>8</v>
      </c>
      <c r="AE36">
        <v>288516</v>
      </c>
      <c r="AF36" s="10">
        <v>0.75</v>
      </c>
    </row>
    <row r="37" spans="1:32" ht="16" customHeight="1" x14ac:dyDescent="0.25">
      <c r="A37" s="105" t="s">
        <v>1125</v>
      </c>
      <c r="C37" s="3" t="s">
        <v>509</v>
      </c>
      <c r="D37" s="91">
        <v>42678</v>
      </c>
      <c r="E37" s="3" t="s">
        <v>510</v>
      </c>
      <c r="F37" s="3">
        <v>1.4850000000000001</v>
      </c>
      <c r="G37" s="3">
        <v>129716000</v>
      </c>
      <c r="H37" s="3">
        <v>1.4750000000000001</v>
      </c>
      <c r="I37" s="2">
        <v>1.4870000000000001</v>
      </c>
      <c r="J37" s="4">
        <v>1.4550000000000001</v>
      </c>
      <c r="K37" s="1">
        <v>0</v>
      </c>
      <c r="L37" s="6">
        <v>0</v>
      </c>
      <c r="M37" s="6">
        <v>-8.3330000000000001E-2</v>
      </c>
      <c r="N37" s="6">
        <v>0.56315999999999999</v>
      </c>
      <c r="O37" s="89">
        <v>0.95</v>
      </c>
      <c r="P37" s="89">
        <v>1.62</v>
      </c>
      <c r="Q37" s="6" t="s">
        <v>511</v>
      </c>
      <c r="R37" s="9">
        <v>16.5</v>
      </c>
      <c r="S37" s="3" t="s">
        <v>3</v>
      </c>
      <c r="T37" s="3">
        <v>1.4</v>
      </c>
      <c r="U37" s="90">
        <v>0.09</v>
      </c>
      <c r="V37" s="90" t="s">
        <v>512</v>
      </c>
      <c r="W37" s="90" t="s">
        <v>3</v>
      </c>
      <c r="X37" s="10">
        <v>1.5189999999999999</v>
      </c>
      <c r="Y37" s="6">
        <v>-2.2509999999999999E-2</v>
      </c>
      <c r="Z37" s="10">
        <v>1.274</v>
      </c>
      <c r="AA37" s="6">
        <v>0.16553000000000001</v>
      </c>
      <c r="AB37" s="102">
        <v>287325</v>
      </c>
      <c r="AC37">
        <v>1.4850000000000001</v>
      </c>
      <c r="AD37" s="10">
        <v>382</v>
      </c>
      <c r="AE37">
        <v>52638</v>
      </c>
      <c r="AF37" s="10">
        <v>1.4850000000000001</v>
      </c>
    </row>
    <row r="38" spans="1:32" ht="16" customHeight="1" x14ac:dyDescent="0.25">
      <c r="A38" s="105" t="s">
        <v>1126</v>
      </c>
      <c r="C38" s="3" t="s">
        <v>513</v>
      </c>
      <c r="D38" s="91">
        <v>42677</v>
      </c>
      <c r="E38" s="3" t="s">
        <v>514</v>
      </c>
      <c r="F38" s="3">
        <v>3.15</v>
      </c>
      <c r="G38" s="3">
        <v>31649000</v>
      </c>
      <c r="H38" s="3">
        <v>3.32</v>
      </c>
      <c r="I38" s="2">
        <v>3.32</v>
      </c>
      <c r="J38" s="4">
        <v>3.15</v>
      </c>
      <c r="K38" s="1">
        <v>0</v>
      </c>
      <c r="L38" s="6">
        <v>0</v>
      </c>
      <c r="M38" s="6">
        <v>-0.20449999999999999</v>
      </c>
      <c r="N38" s="6">
        <v>0</v>
      </c>
      <c r="O38" s="89">
        <v>3.15</v>
      </c>
      <c r="P38" s="89">
        <v>3.96</v>
      </c>
      <c r="Q38" s="6" t="s">
        <v>515</v>
      </c>
      <c r="R38" s="9">
        <v>29.44</v>
      </c>
      <c r="S38" s="3" t="s">
        <v>3</v>
      </c>
      <c r="T38" s="3">
        <v>0</v>
      </c>
      <c r="U38" s="90">
        <v>0.11</v>
      </c>
      <c r="V38" s="90" t="s">
        <v>516</v>
      </c>
      <c r="W38" s="90" t="s">
        <v>3</v>
      </c>
      <c r="X38" s="10">
        <v>3.58</v>
      </c>
      <c r="Y38" s="6">
        <v>-0.11990000000000001</v>
      </c>
      <c r="Z38" s="10">
        <v>3.58</v>
      </c>
      <c r="AA38" s="6">
        <v>-0.11990000000000001</v>
      </c>
      <c r="AB38" s="102">
        <v>19652</v>
      </c>
      <c r="AC38">
        <v>3.15</v>
      </c>
      <c r="AD38" s="10">
        <v>2500</v>
      </c>
      <c r="AE38">
        <v>23943</v>
      </c>
      <c r="AF38" s="10">
        <v>3.15</v>
      </c>
    </row>
    <row r="39" spans="1:32" ht="16" customHeight="1" x14ac:dyDescent="0.25">
      <c r="A39" s="105" t="s">
        <v>1127</v>
      </c>
      <c r="C39" s="3" t="s">
        <v>517</v>
      </c>
      <c r="D39" s="91">
        <v>42678</v>
      </c>
      <c r="E39" s="3" t="s">
        <v>518</v>
      </c>
      <c r="F39" s="3">
        <v>0.95</v>
      </c>
      <c r="G39" s="3">
        <v>146575000</v>
      </c>
      <c r="H39" s="3">
        <v>0.95</v>
      </c>
      <c r="I39" s="2">
        <v>0.95</v>
      </c>
      <c r="J39" s="4">
        <v>0.94</v>
      </c>
      <c r="K39" s="1">
        <v>0.01</v>
      </c>
      <c r="L39" s="6">
        <v>1.06E-2</v>
      </c>
      <c r="M39" s="6">
        <v>-8.2100000000000006E-2</v>
      </c>
      <c r="N39" s="6">
        <v>7.9500000000000001E-2</v>
      </c>
      <c r="O39" s="89">
        <v>0.88</v>
      </c>
      <c r="P39" s="89">
        <v>1.03</v>
      </c>
      <c r="Q39" s="6" t="s">
        <v>519</v>
      </c>
      <c r="R39" s="9">
        <v>9.69</v>
      </c>
      <c r="S39" s="3" t="s">
        <v>3</v>
      </c>
      <c r="T39" s="3">
        <v>8.36</v>
      </c>
      <c r="U39" s="90">
        <v>0.1</v>
      </c>
      <c r="V39" s="90" t="s">
        <v>520</v>
      </c>
      <c r="W39" s="90" t="s">
        <v>3</v>
      </c>
      <c r="X39" s="10">
        <v>0.92</v>
      </c>
      <c r="Y39" s="6">
        <v>2.9000000000000001E-2</v>
      </c>
      <c r="Z39" s="10">
        <v>0.94</v>
      </c>
      <c r="AA39" s="6">
        <v>1.5900000000000001E-2</v>
      </c>
      <c r="AB39" s="102">
        <v>202454</v>
      </c>
      <c r="AC39">
        <v>0.95</v>
      </c>
      <c r="AD39" s="10">
        <v>106</v>
      </c>
      <c r="AE39">
        <v>15440</v>
      </c>
      <c r="AF39" s="10">
        <v>0.94</v>
      </c>
    </row>
    <row r="40" spans="1:32" ht="16" customHeight="1" x14ac:dyDescent="0.25">
      <c r="A40" s="105" t="s">
        <v>1128</v>
      </c>
      <c r="C40" s="3" t="s">
        <v>521</v>
      </c>
      <c r="D40" s="91">
        <v>42678</v>
      </c>
      <c r="E40" s="3" t="s">
        <v>448</v>
      </c>
      <c r="F40" s="3">
        <v>1.0900000000000001</v>
      </c>
      <c r="G40" s="3">
        <v>162618000</v>
      </c>
      <c r="H40" s="3">
        <v>1.1000000000000001</v>
      </c>
      <c r="I40" s="2">
        <v>1.1000000000000001</v>
      </c>
      <c r="J40" s="4">
        <v>1.08</v>
      </c>
      <c r="K40" s="1">
        <v>0</v>
      </c>
      <c r="L40" s="6">
        <v>-4.5999999999999999E-3</v>
      </c>
      <c r="M40" s="6">
        <v>-0.63049999999999995</v>
      </c>
      <c r="N40" s="6">
        <v>0.32119999999999999</v>
      </c>
      <c r="O40" s="89">
        <v>0.82</v>
      </c>
      <c r="P40" s="89">
        <v>2.95</v>
      </c>
      <c r="Q40" s="6" t="s">
        <v>522</v>
      </c>
      <c r="R40" s="9">
        <v>5.51</v>
      </c>
      <c r="S40" s="3" t="s">
        <v>3</v>
      </c>
      <c r="T40" s="3">
        <v>1.45</v>
      </c>
      <c r="U40" s="90">
        <v>0.2</v>
      </c>
      <c r="V40" s="90" t="s">
        <v>523</v>
      </c>
      <c r="W40" s="90" t="s">
        <v>3</v>
      </c>
      <c r="X40" s="10">
        <v>1.17</v>
      </c>
      <c r="Y40" s="6">
        <v>-6.7400000000000002E-2</v>
      </c>
      <c r="Z40" s="10">
        <v>1.22</v>
      </c>
      <c r="AA40" s="6">
        <v>-0.10539999999999999</v>
      </c>
      <c r="AB40" s="102">
        <v>674303</v>
      </c>
      <c r="AC40">
        <v>1.0900000000000001</v>
      </c>
      <c r="AD40" s="10">
        <v>89</v>
      </c>
      <c r="AE40">
        <v>73383</v>
      </c>
      <c r="AF40" s="10">
        <v>1.1000000000000001</v>
      </c>
    </row>
    <row r="41" spans="1:32" ht="16" customHeight="1" x14ac:dyDescent="0.25">
      <c r="A41" s="105" t="s">
        <v>1129</v>
      </c>
      <c r="C41" s="3" t="s">
        <v>524</v>
      </c>
      <c r="D41" s="91">
        <v>42678</v>
      </c>
      <c r="E41" s="3" t="s">
        <v>407</v>
      </c>
      <c r="F41" s="3">
        <v>2.84</v>
      </c>
      <c r="G41" s="3">
        <v>260837000</v>
      </c>
      <c r="H41" s="3">
        <v>2.83</v>
      </c>
      <c r="I41" s="2">
        <v>2.85</v>
      </c>
      <c r="J41" s="4">
        <v>2.8</v>
      </c>
      <c r="K41" s="1">
        <v>0.01</v>
      </c>
      <c r="L41" s="6">
        <v>3.5000000000000001E-3</v>
      </c>
      <c r="M41" s="6">
        <v>-0.26229999999999998</v>
      </c>
      <c r="N41" s="6">
        <v>0.372</v>
      </c>
      <c r="O41" s="89">
        <v>2.0699999999999998</v>
      </c>
      <c r="P41" s="89">
        <v>3.85</v>
      </c>
      <c r="Q41" s="6" t="s">
        <v>525</v>
      </c>
      <c r="R41" s="9">
        <v>33.81</v>
      </c>
      <c r="S41" s="3" t="s">
        <v>3</v>
      </c>
      <c r="T41" s="3">
        <v>-3.59</v>
      </c>
      <c r="U41" s="90">
        <v>0.08</v>
      </c>
      <c r="V41" s="90" t="s">
        <v>526</v>
      </c>
      <c r="W41" s="90" t="s">
        <v>3</v>
      </c>
      <c r="X41" s="10">
        <v>3.18</v>
      </c>
      <c r="Y41" s="6">
        <v>-0.10639999999999999</v>
      </c>
      <c r="Z41" s="10">
        <v>3.25</v>
      </c>
      <c r="AA41" s="6">
        <v>-0.1249</v>
      </c>
      <c r="AB41" s="102">
        <v>298518</v>
      </c>
      <c r="AC41">
        <v>2.84</v>
      </c>
      <c r="AD41" s="10">
        <v>37</v>
      </c>
      <c r="AE41">
        <v>345350</v>
      </c>
      <c r="AF41" s="10">
        <v>2.83</v>
      </c>
    </row>
    <row r="42" spans="1:32" ht="16" customHeight="1" x14ac:dyDescent="0.25">
      <c r="A42" s="105" t="s">
        <v>1130</v>
      </c>
      <c r="C42" s="3" t="s">
        <v>527</v>
      </c>
      <c r="D42" s="91">
        <v>42678</v>
      </c>
      <c r="E42" s="3" t="s">
        <v>407</v>
      </c>
      <c r="F42" s="3">
        <v>0.6</v>
      </c>
      <c r="G42" s="3">
        <v>165106000</v>
      </c>
      <c r="H42" s="3">
        <v>0.6</v>
      </c>
      <c r="I42" s="2">
        <v>0.61</v>
      </c>
      <c r="J42" s="4">
        <v>0.6</v>
      </c>
      <c r="K42" s="1">
        <v>0</v>
      </c>
      <c r="L42" s="6">
        <v>0</v>
      </c>
      <c r="M42" s="6">
        <v>-0.1045</v>
      </c>
      <c r="N42" s="6">
        <v>0.71430000000000005</v>
      </c>
      <c r="O42" s="89">
        <v>0.35</v>
      </c>
      <c r="P42" s="89">
        <v>0.67</v>
      </c>
      <c r="Q42" s="6" t="s">
        <v>528</v>
      </c>
      <c r="R42" s="9">
        <v>13.95</v>
      </c>
      <c r="S42" s="3" t="s">
        <v>3</v>
      </c>
      <c r="T42" s="3">
        <v>2.16</v>
      </c>
      <c r="U42" s="90">
        <v>0.04</v>
      </c>
      <c r="V42" s="90" t="s">
        <v>529</v>
      </c>
      <c r="W42" s="90" t="s">
        <v>3</v>
      </c>
      <c r="X42" s="10">
        <v>0.61</v>
      </c>
      <c r="Y42" s="6">
        <v>-2.01E-2</v>
      </c>
      <c r="Z42" s="10">
        <v>0.53</v>
      </c>
      <c r="AA42" s="6">
        <v>0.13320000000000001</v>
      </c>
      <c r="AB42" s="102">
        <v>1500290</v>
      </c>
      <c r="AC42">
        <v>0.6</v>
      </c>
      <c r="AD42" s="10">
        <v>397</v>
      </c>
      <c r="AE42">
        <v>134715</v>
      </c>
      <c r="AF42" s="10">
        <v>0.6</v>
      </c>
    </row>
    <row r="43" spans="1:32" ht="16" customHeight="1" x14ac:dyDescent="0.25">
      <c r="A43" s="105" t="s">
        <v>1131</v>
      </c>
      <c r="C43" s="3" t="s">
        <v>530</v>
      </c>
      <c r="D43" s="91">
        <v>42678</v>
      </c>
      <c r="E43" s="3" t="s">
        <v>531</v>
      </c>
      <c r="F43" s="3">
        <v>1.2450000000000001</v>
      </c>
      <c r="G43" s="3">
        <v>77316000</v>
      </c>
      <c r="H43" s="3">
        <v>1.25</v>
      </c>
      <c r="I43" s="2">
        <v>1.25</v>
      </c>
      <c r="J43" s="4">
        <v>1.2050000000000001</v>
      </c>
      <c r="K43" s="1">
        <v>-0.01</v>
      </c>
      <c r="L43" s="6">
        <v>-7.9699999999999997E-3</v>
      </c>
      <c r="M43" s="6">
        <v>-0.44912000000000002</v>
      </c>
      <c r="N43" s="6">
        <v>1.6489400000000001</v>
      </c>
      <c r="O43" s="89">
        <v>0.47</v>
      </c>
      <c r="P43" s="89">
        <v>2.2599999999999998</v>
      </c>
      <c r="Q43" s="6" t="s">
        <v>532</v>
      </c>
      <c r="R43" s="9">
        <v>14.477</v>
      </c>
      <c r="S43" s="3" t="s">
        <v>3</v>
      </c>
      <c r="T43" s="3">
        <v>0.32</v>
      </c>
      <c r="U43" s="90">
        <v>8.5999999999999993E-2</v>
      </c>
      <c r="V43" s="90" t="s">
        <v>533</v>
      </c>
      <c r="W43" s="90" t="s">
        <v>3</v>
      </c>
      <c r="X43" s="10">
        <v>1.351</v>
      </c>
      <c r="Y43" s="6">
        <v>-7.8240000000000004E-2</v>
      </c>
      <c r="Z43" s="10">
        <v>1.214</v>
      </c>
      <c r="AA43" s="6">
        <v>2.572E-2</v>
      </c>
      <c r="AB43" s="102">
        <v>170470</v>
      </c>
      <c r="AC43">
        <v>1.2450000000000001</v>
      </c>
      <c r="AD43" s="10">
        <v>1</v>
      </c>
      <c r="AE43">
        <v>6946</v>
      </c>
      <c r="AF43" s="10">
        <v>1.2549999999999999</v>
      </c>
    </row>
    <row r="44" spans="1:32" ht="16" customHeight="1" x14ac:dyDescent="0.25">
      <c r="A44" s="105" t="s">
        <v>1132</v>
      </c>
      <c r="C44" s="3" t="s">
        <v>534</v>
      </c>
      <c r="D44" s="91">
        <v>42678</v>
      </c>
      <c r="E44" s="3" t="s">
        <v>448</v>
      </c>
      <c r="F44" s="3">
        <v>2.85</v>
      </c>
      <c r="G44" s="3">
        <v>35129000</v>
      </c>
      <c r="H44" s="3">
        <v>2.82</v>
      </c>
      <c r="I44" s="2">
        <v>2.89</v>
      </c>
      <c r="J44" s="4">
        <v>2.82</v>
      </c>
      <c r="K44" s="1">
        <v>0.15</v>
      </c>
      <c r="L44" s="6">
        <v>5.5599999999999997E-2</v>
      </c>
      <c r="M44" s="6">
        <v>-0.19719999999999999</v>
      </c>
      <c r="N44" s="6">
        <v>1.0357000000000001</v>
      </c>
      <c r="O44" s="89">
        <v>1.4</v>
      </c>
      <c r="P44" s="89">
        <v>3.55</v>
      </c>
      <c r="Q44" s="6" t="s">
        <v>535</v>
      </c>
      <c r="R44" s="9">
        <v>24.57</v>
      </c>
      <c r="S44" s="3" t="s">
        <v>3</v>
      </c>
      <c r="T44" s="3">
        <v>0</v>
      </c>
      <c r="U44" s="90">
        <v>0.12</v>
      </c>
      <c r="V44" s="90" t="s">
        <v>536</v>
      </c>
      <c r="W44" s="90" t="s">
        <v>3</v>
      </c>
      <c r="X44" s="10">
        <v>2.96</v>
      </c>
      <c r="Y44" s="6">
        <v>-3.6299999999999999E-2</v>
      </c>
      <c r="Z44" s="10">
        <v>2.81</v>
      </c>
      <c r="AA44" s="6">
        <v>1.4200000000000001E-2</v>
      </c>
      <c r="AB44" s="102">
        <v>299791</v>
      </c>
      <c r="AC44">
        <v>2.85</v>
      </c>
      <c r="AD44" s="10">
        <v>1900</v>
      </c>
      <c r="AE44">
        <v>416293</v>
      </c>
      <c r="AF44" s="10">
        <v>2.7</v>
      </c>
    </row>
    <row r="45" spans="1:32" ht="16" customHeight="1" x14ac:dyDescent="0.25">
      <c r="A45" s="105" t="s">
        <v>1133</v>
      </c>
      <c r="C45" s="3" t="s">
        <v>537</v>
      </c>
      <c r="D45" s="91">
        <v>42678</v>
      </c>
      <c r="E45" s="3" t="s">
        <v>490</v>
      </c>
      <c r="F45" s="3">
        <v>3.78</v>
      </c>
      <c r="G45" s="3">
        <v>38399000</v>
      </c>
      <c r="H45" s="3">
        <v>3.71</v>
      </c>
      <c r="I45" s="2">
        <v>3.8</v>
      </c>
      <c r="J45" s="4">
        <v>3.71</v>
      </c>
      <c r="K45" s="1">
        <v>7.0000000000000007E-2</v>
      </c>
      <c r="L45" s="6">
        <v>1.89E-2</v>
      </c>
      <c r="M45" s="6">
        <v>-7.3499999999999996E-2</v>
      </c>
      <c r="N45" s="6">
        <v>0.67620000000000002</v>
      </c>
      <c r="O45" s="89">
        <v>2.2599999999999998</v>
      </c>
      <c r="P45" s="89">
        <v>4.08</v>
      </c>
      <c r="Q45" s="6" t="s">
        <v>538</v>
      </c>
      <c r="R45" s="9">
        <v>1260</v>
      </c>
      <c r="S45" s="3" t="s">
        <v>3</v>
      </c>
      <c r="T45" s="3">
        <v>-0.42</v>
      </c>
      <c r="U45" s="90">
        <v>0</v>
      </c>
      <c r="V45" s="90" t="s">
        <v>539</v>
      </c>
      <c r="W45" s="90" t="s">
        <v>3</v>
      </c>
      <c r="X45" s="10">
        <v>3.63</v>
      </c>
      <c r="Y45" s="6">
        <v>4.2299999999999997E-2</v>
      </c>
      <c r="Z45" s="10">
        <v>3.35</v>
      </c>
      <c r="AA45" s="6">
        <v>0.12989999999999999</v>
      </c>
      <c r="AB45" s="102">
        <v>64016</v>
      </c>
      <c r="AC45">
        <v>3.78</v>
      </c>
      <c r="AD45" s="10">
        <v>184</v>
      </c>
      <c r="AE45">
        <v>5716</v>
      </c>
      <c r="AF45" s="10">
        <v>3.71</v>
      </c>
    </row>
    <row r="46" spans="1:32" ht="16" customHeight="1" x14ac:dyDescent="0.25">
      <c r="A46" s="105" t="s">
        <v>1134</v>
      </c>
      <c r="C46" s="3" t="s">
        <v>540</v>
      </c>
      <c r="D46" s="91">
        <v>42677</v>
      </c>
      <c r="E46" s="3" t="s">
        <v>26</v>
      </c>
      <c r="F46" s="3">
        <v>5.2</v>
      </c>
      <c r="G46" s="3">
        <v>33709000</v>
      </c>
      <c r="H46" s="3">
        <v>5.12</v>
      </c>
      <c r="I46" s="2">
        <v>5.2</v>
      </c>
      <c r="J46" s="4">
        <v>5.12</v>
      </c>
      <c r="K46" s="1">
        <v>0</v>
      </c>
      <c r="L46" s="6">
        <v>0</v>
      </c>
      <c r="M46" s="6">
        <v>-0.1333</v>
      </c>
      <c r="N46" s="6">
        <v>8.3299999999999999E-2</v>
      </c>
      <c r="O46" s="89">
        <v>4.8</v>
      </c>
      <c r="P46" s="89">
        <v>6</v>
      </c>
      <c r="Q46" s="6" t="s">
        <v>541</v>
      </c>
      <c r="R46" s="9">
        <v>16.670000000000002</v>
      </c>
      <c r="S46" s="3" t="s">
        <v>3</v>
      </c>
      <c r="T46" s="3">
        <v>4.2699999999999996</v>
      </c>
      <c r="U46" s="90">
        <v>0.31</v>
      </c>
      <c r="V46" s="90">
        <v>0</v>
      </c>
      <c r="W46" s="90" t="s">
        <v>3</v>
      </c>
      <c r="X46" s="10">
        <v>5.09</v>
      </c>
      <c r="Y46" s="6">
        <v>2.18E-2</v>
      </c>
      <c r="Z46" s="10">
        <v>5.1100000000000003</v>
      </c>
      <c r="AA46" s="6">
        <v>1.8499999999999999E-2</v>
      </c>
      <c r="AB46" s="102">
        <v>19798</v>
      </c>
      <c r="AC46">
        <v>5.2</v>
      </c>
      <c r="AD46" s="10">
        <v>232</v>
      </c>
      <c r="AE46">
        <v>7248</v>
      </c>
      <c r="AF46" s="10">
        <v>5.2</v>
      </c>
    </row>
    <row r="47" spans="1:32" ht="16" customHeight="1" x14ac:dyDescent="0.25">
      <c r="A47" s="105" t="s">
        <v>1135</v>
      </c>
      <c r="C47" s="3" t="s">
        <v>542</v>
      </c>
      <c r="D47" s="91">
        <v>42678</v>
      </c>
      <c r="E47" s="3" t="s">
        <v>543</v>
      </c>
      <c r="F47" s="3">
        <v>0.72</v>
      </c>
      <c r="G47" s="3">
        <v>227049000</v>
      </c>
      <c r="H47" s="3">
        <v>0.73</v>
      </c>
      <c r="I47" s="2">
        <v>0.73</v>
      </c>
      <c r="J47" s="4">
        <v>0.71</v>
      </c>
      <c r="K47" s="1">
        <v>-0.02</v>
      </c>
      <c r="L47" s="6">
        <v>-2.7E-2</v>
      </c>
      <c r="M47" s="6">
        <v>-0.38719999999999999</v>
      </c>
      <c r="N47" s="6">
        <v>2.5122</v>
      </c>
      <c r="O47" s="89">
        <v>0.2</v>
      </c>
      <c r="P47" s="89">
        <v>1.17</v>
      </c>
      <c r="Q47" s="6" t="s">
        <v>544</v>
      </c>
      <c r="R47" s="9" t="s">
        <v>3</v>
      </c>
      <c r="S47" s="3" t="s">
        <v>3</v>
      </c>
      <c r="T47" s="3">
        <v>0</v>
      </c>
      <c r="U47" s="90">
        <v>-0.04</v>
      </c>
      <c r="V47" s="90" t="s">
        <v>545</v>
      </c>
      <c r="W47" s="90" t="s">
        <v>3</v>
      </c>
      <c r="X47" s="10">
        <v>0.78</v>
      </c>
      <c r="Y47" s="6">
        <v>-7.9500000000000001E-2</v>
      </c>
      <c r="Z47" s="10">
        <v>0.71</v>
      </c>
      <c r="AA47" s="6">
        <v>1.7100000000000001E-2</v>
      </c>
      <c r="AB47" s="102">
        <v>1085320</v>
      </c>
      <c r="AC47">
        <v>0.72</v>
      </c>
      <c r="AD47" s="10">
        <v>12</v>
      </c>
      <c r="AE47">
        <v>283375</v>
      </c>
      <c r="AF47" s="10">
        <v>0.74</v>
      </c>
    </row>
    <row r="48" spans="1:32" ht="16" customHeight="1" x14ac:dyDescent="0.25">
      <c r="A48" s="105" t="s">
        <v>1136</v>
      </c>
      <c r="C48" s="3" t="s">
        <v>546</v>
      </c>
      <c r="D48" s="91">
        <v>42678</v>
      </c>
      <c r="E48" s="3" t="s">
        <v>411</v>
      </c>
      <c r="F48" s="3">
        <v>7.37</v>
      </c>
      <c r="G48" s="3">
        <v>28341000</v>
      </c>
      <c r="H48" s="3">
        <v>7.35</v>
      </c>
      <c r="I48" s="2">
        <v>7.45</v>
      </c>
      <c r="J48" s="4">
        <v>7.31</v>
      </c>
      <c r="K48" s="1">
        <v>7.0000000000000007E-2</v>
      </c>
      <c r="L48" s="6">
        <v>9.5999999999999992E-3</v>
      </c>
      <c r="M48" s="6">
        <v>-0.5202</v>
      </c>
      <c r="N48" s="6">
        <v>9.8400000000000001E-2</v>
      </c>
      <c r="O48" s="89">
        <v>6.71</v>
      </c>
      <c r="P48" s="89">
        <v>15.36</v>
      </c>
      <c r="Q48" s="6" t="s">
        <v>547</v>
      </c>
      <c r="R48" s="9">
        <v>12.53</v>
      </c>
      <c r="S48" s="3" t="s">
        <v>3</v>
      </c>
      <c r="T48" s="3">
        <v>1.33</v>
      </c>
      <c r="U48" s="90">
        <v>0.59</v>
      </c>
      <c r="V48" s="90" t="s">
        <v>548</v>
      </c>
      <c r="W48" s="90" t="s">
        <v>3</v>
      </c>
      <c r="X48" s="10">
        <v>9.41</v>
      </c>
      <c r="Y48" s="6">
        <v>-0.21690000000000001</v>
      </c>
      <c r="Z48" s="10">
        <v>11.59</v>
      </c>
      <c r="AA48" s="6">
        <v>-0.36409999999999998</v>
      </c>
      <c r="AB48" s="102">
        <v>189264</v>
      </c>
      <c r="AC48">
        <v>7.37</v>
      </c>
      <c r="AD48" s="10">
        <v>38</v>
      </c>
      <c r="AE48">
        <v>50583</v>
      </c>
      <c r="AF48" s="10">
        <v>7.3</v>
      </c>
    </row>
    <row r="49" spans="1:32" ht="16" customHeight="1" x14ac:dyDescent="0.25">
      <c r="A49" s="105" t="s">
        <v>1137</v>
      </c>
      <c r="C49" s="3" t="s">
        <v>549</v>
      </c>
      <c r="D49" s="91">
        <v>42678</v>
      </c>
      <c r="E49" s="3" t="s">
        <v>550</v>
      </c>
      <c r="F49" s="3">
        <v>5.45</v>
      </c>
      <c r="G49" s="3">
        <v>18911000</v>
      </c>
      <c r="H49" s="3">
        <v>5.45</v>
      </c>
      <c r="I49" s="2">
        <v>5.45</v>
      </c>
      <c r="J49" s="4">
        <v>5.45</v>
      </c>
      <c r="K49" s="1">
        <v>0.08</v>
      </c>
      <c r="L49" s="6">
        <v>1.49E-2</v>
      </c>
      <c r="M49" s="6">
        <v>-3.2000000000000001E-2</v>
      </c>
      <c r="N49" s="6">
        <v>0.28239999999999998</v>
      </c>
      <c r="O49" s="89">
        <v>4.25</v>
      </c>
      <c r="P49" s="89">
        <v>5.63</v>
      </c>
      <c r="Q49" s="6" t="s">
        <v>551</v>
      </c>
      <c r="R49" s="9">
        <v>19.260000000000002</v>
      </c>
      <c r="S49" s="3" t="s">
        <v>3</v>
      </c>
      <c r="T49" s="3">
        <v>2.11</v>
      </c>
      <c r="U49" s="90">
        <v>0.28000000000000003</v>
      </c>
      <c r="V49" s="90" t="s">
        <v>552</v>
      </c>
      <c r="W49" s="90" t="s">
        <v>3</v>
      </c>
      <c r="X49" s="10">
        <v>5.29</v>
      </c>
      <c r="Y49" s="6">
        <v>2.9399999999999999E-2</v>
      </c>
      <c r="Z49" s="10">
        <v>4.9400000000000004</v>
      </c>
      <c r="AA49" s="6">
        <v>0.10340000000000001</v>
      </c>
      <c r="AB49" s="102">
        <v>9061</v>
      </c>
      <c r="AC49">
        <v>5.45</v>
      </c>
      <c r="AD49" s="10">
        <v>372</v>
      </c>
      <c r="AE49">
        <v>372</v>
      </c>
      <c r="AF49" s="10">
        <v>5.37</v>
      </c>
    </row>
    <row r="50" spans="1:32" ht="16" customHeight="1" x14ac:dyDescent="0.25">
      <c r="A50" s="105" t="s">
        <v>1138</v>
      </c>
      <c r="C50" s="3" t="s">
        <v>553</v>
      </c>
      <c r="D50" s="91">
        <v>42678</v>
      </c>
      <c r="E50" s="3" t="s">
        <v>506</v>
      </c>
      <c r="F50" s="3">
        <v>2.13</v>
      </c>
      <c r="G50" s="3">
        <v>48805000</v>
      </c>
      <c r="H50" s="3">
        <v>2</v>
      </c>
      <c r="I50" s="2">
        <v>2.16</v>
      </c>
      <c r="J50" s="4">
        <v>1.99</v>
      </c>
      <c r="K50" s="1">
        <v>0.11</v>
      </c>
      <c r="L50" s="6">
        <v>5.45E-2</v>
      </c>
      <c r="M50" s="6">
        <v>-0.28760000000000002</v>
      </c>
      <c r="N50" s="6">
        <v>2.6724000000000001</v>
      </c>
      <c r="O50" s="89">
        <v>0.57999999999999996</v>
      </c>
      <c r="P50" s="89">
        <v>2.99</v>
      </c>
      <c r="Q50" s="6" t="s">
        <v>554</v>
      </c>
      <c r="R50" s="9" t="s">
        <v>3</v>
      </c>
      <c r="S50" s="3" t="s">
        <v>3</v>
      </c>
      <c r="T50" s="3">
        <v>0</v>
      </c>
      <c r="U50" s="90">
        <v>-0.03</v>
      </c>
      <c r="V50" s="90">
        <v>0</v>
      </c>
      <c r="W50" s="90" t="s">
        <v>3</v>
      </c>
      <c r="X50" s="10">
        <v>2.54</v>
      </c>
      <c r="Y50" s="6">
        <v>-0.1618</v>
      </c>
      <c r="Z50" s="10">
        <v>2.15</v>
      </c>
      <c r="AA50" s="6">
        <v>-7.3000000000000001E-3</v>
      </c>
      <c r="AB50" s="102">
        <v>256835</v>
      </c>
      <c r="AC50">
        <v>2.13</v>
      </c>
      <c r="AD50" s="10">
        <v>121</v>
      </c>
      <c r="AE50">
        <v>187437</v>
      </c>
      <c r="AF50" s="10">
        <v>2.02</v>
      </c>
    </row>
    <row r="51" spans="1:32" ht="16" customHeight="1" x14ac:dyDescent="0.25">
      <c r="A51" s="105" t="s">
        <v>1139</v>
      </c>
      <c r="C51" s="3" t="s">
        <v>555</v>
      </c>
      <c r="D51" s="91">
        <v>42678</v>
      </c>
      <c r="E51" s="3" t="s">
        <v>556</v>
      </c>
      <c r="F51" s="3">
        <v>0.85</v>
      </c>
      <c r="G51" s="3">
        <v>76152000</v>
      </c>
      <c r="H51" s="3">
        <v>0.85</v>
      </c>
      <c r="I51" s="2">
        <v>0.85</v>
      </c>
      <c r="J51" s="4">
        <v>0.85</v>
      </c>
      <c r="K51" s="1">
        <v>-0.03</v>
      </c>
      <c r="L51" s="6">
        <v>-3.4099999999999998E-2</v>
      </c>
      <c r="M51" s="6">
        <v>-0.24779999999999999</v>
      </c>
      <c r="N51" s="6">
        <v>8.9700000000000002E-2</v>
      </c>
      <c r="O51" s="89">
        <v>0.78</v>
      </c>
      <c r="P51" s="89">
        <v>1.1299999999999999</v>
      </c>
      <c r="Q51" s="6" t="s">
        <v>557</v>
      </c>
      <c r="R51" s="9">
        <v>22.37</v>
      </c>
      <c r="S51" s="3" t="s">
        <v>3</v>
      </c>
      <c r="T51" s="3">
        <v>0</v>
      </c>
      <c r="U51" s="90">
        <v>0.04</v>
      </c>
      <c r="V51" s="90" t="s">
        <v>558</v>
      </c>
      <c r="W51" s="90" t="s">
        <v>3</v>
      </c>
      <c r="X51" s="10">
        <v>0.89</v>
      </c>
      <c r="Y51" s="6">
        <v>-4.5999999999999999E-2</v>
      </c>
      <c r="Z51" s="10">
        <v>0.86</v>
      </c>
      <c r="AA51" s="6">
        <v>-8.6E-3</v>
      </c>
      <c r="AB51" s="102">
        <v>74217</v>
      </c>
      <c r="AC51">
        <v>0.85</v>
      </c>
      <c r="AD51" s="10">
        <v>590</v>
      </c>
      <c r="AE51">
        <v>2840</v>
      </c>
      <c r="AF51" s="10">
        <v>0.88</v>
      </c>
    </row>
    <row r="52" spans="1:32" ht="16" customHeight="1" x14ac:dyDescent="0.25">
      <c r="A52" s="105" t="s">
        <v>1140</v>
      </c>
      <c r="C52" s="3" t="s">
        <v>559</v>
      </c>
      <c r="D52" s="91">
        <v>42678</v>
      </c>
      <c r="E52" s="3" t="s">
        <v>560</v>
      </c>
      <c r="F52" s="3">
        <v>0.61</v>
      </c>
      <c r="G52" s="3">
        <v>235914000</v>
      </c>
      <c r="H52" s="3">
        <v>0.61</v>
      </c>
      <c r="I52" s="2">
        <v>0.62</v>
      </c>
      <c r="J52" s="4">
        <v>0.6</v>
      </c>
      <c r="K52" s="1">
        <v>0</v>
      </c>
      <c r="L52" s="6">
        <v>0</v>
      </c>
      <c r="M52" s="6">
        <v>-8.9599999999999999E-2</v>
      </c>
      <c r="N52" s="6">
        <v>2.5882000000000001</v>
      </c>
      <c r="O52" s="89">
        <v>0.17</v>
      </c>
      <c r="P52" s="89">
        <v>0.67</v>
      </c>
      <c r="Q52" s="6" t="s">
        <v>561</v>
      </c>
      <c r="R52" s="9" t="s">
        <v>3</v>
      </c>
      <c r="S52" s="3" t="s">
        <v>3</v>
      </c>
      <c r="T52" s="3">
        <v>0</v>
      </c>
      <c r="U52" s="90">
        <v>-0.23</v>
      </c>
      <c r="V52" s="90" t="s">
        <v>562</v>
      </c>
      <c r="W52" s="90" t="s">
        <v>3</v>
      </c>
      <c r="X52" s="10">
        <v>0.57999999999999996</v>
      </c>
      <c r="Y52" s="6">
        <v>4.6800000000000001E-2</v>
      </c>
      <c r="Z52" s="10">
        <v>0.4</v>
      </c>
      <c r="AA52" s="6">
        <v>0.53559999999999997</v>
      </c>
      <c r="AB52" s="102">
        <v>1624150</v>
      </c>
      <c r="AC52">
        <v>0.61</v>
      </c>
      <c r="AD52" s="10">
        <v>50</v>
      </c>
      <c r="AE52">
        <v>139760</v>
      </c>
      <c r="AF52" s="10">
        <v>0.61</v>
      </c>
    </row>
    <row r="53" spans="1:32" ht="16" customHeight="1" x14ac:dyDescent="0.25">
      <c r="A53" s="105" t="s">
        <v>1141</v>
      </c>
      <c r="C53" s="3" t="s">
        <v>563</v>
      </c>
      <c r="D53" s="91">
        <v>42678</v>
      </c>
      <c r="E53" s="3" t="s">
        <v>407</v>
      </c>
      <c r="F53" s="3">
        <v>0.16500000000000001</v>
      </c>
      <c r="G53" s="3">
        <v>547816000</v>
      </c>
      <c r="H53" s="3">
        <v>0.16</v>
      </c>
      <c r="I53" s="2">
        <v>0.16500000000000001</v>
      </c>
      <c r="J53" s="4">
        <v>0.16</v>
      </c>
      <c r="K53" s="1">
        <v>5.0000000000000001E-3</v>
      </c>
      <c r="L53" s="6">
        <v>3.125E-2</v>
      </c>
      <c r="M53" s="6">
        <v>-0.49618000000000001</v>
      </c>
      <c r="N53" s="6">
        <v>1.6612899999999999</v>
      </c>
      <c r="O53" s="89">
        <v>6.2E-2</v>
      </c>
      <c r="P53" s="89">
        <v>0.32700000000000001</v>
      </c>
      <c r="Q53" s="6" t="s">
        <v>564</v>
      </c>
      <c r="R53" s="9" t="s">
        <v>3</v>
      </c>
      <c r="S53" s="3" t="s">
        <v>3</v>
      </c>
      <c r="T53" s="3">
        <v>-3.02</v>
      </c>
      <c r="U53" s="90">
        <v>-0.47699999999999998</v>
      </c>
      <c r="V53" s="90" t="s">
        <v>565</v>
      </c>
      <c r="W53" s="90" t="s">
        <v>3</v>
      </c>
      <c r="X53" s="10">
        <v>0.16900000000000001</v>
      </c>
      <c r="Y53" s="6">
        <v>-2.3199999999999998E-2</v>
      </c>
      <c r="Z53" s="10">
        <v>0.152</v>
      </c>
      <c r="AA53" s="6">
        <v>8.2710000000000006E-2</v>
      </c>
      <c r="AB53" s="102">
        <v>4948690</v>
      </c>
      <c r="AC53">
        <v>0.16500000000000001</v>
      </c>
      <c r="AD53" s="10">
        <v>140</v>
      </c>
      <c r="AE53">
        <v>628098</v>
      </c>
      <c r="AF53" s="10">
        <v>0.16</v>
      </c>
    </row>
    <row r="54" spans="1:32" ht="16" customHeight="1" x14ac:dyDescent="0.25">
      <c r="A54" s="105" t="s">
        <v>1142</v>
      </c>
      <c r="C54" s="3" t="s">
        <v>566</v>
      </c>
      <c r="D54" s="91">
        <v>42678</v>
      </c>
      <c r="E54" s="3" t="s">
        <v>411</v>
      </c>
      <c r="F54" s="3">
        <v>9.2999999999999999E-2</v>
      </c>
      <c r="G54" s="3">
        <v>1957151000</v>
      </c>
      <c r="H54" s="3">
        <v>9.5000000000000001E-2</v>
      </c>
      <c r="I54" s="2">
        <v>9.5000000000000001E-2</v>
      </c>
      <c r="J54" s="4">
        <v>9.1999999999999998E-2</v>
      </c>
      <c r="K54" s="1">
        <v>-3.0000000000000001E-3</v>
      </c>
      <c r="L54" s="6">
        <v>-3.125E-2</v>
      </c>
      <c r="M54" s="6">
        <v>-0.28461999999999998</v>
      </c>
      <c r="N54" s="6">
        <v>2.4444400000000002</v>
      </c>
      <c r="O54" s="89">
        <v>2.7E-2</v>
      </c>
      <c r="P54" s="89">
        <v>0.13</v>
      </c>
      <c r="Q54" s="6" t="s">
        <v>567</v>
      </c>
      <c r="R54" s="9" t="s">
        <v>3</v>
      </c>
      <c r="S54" s="3" t="s">
        <v>3</v>
      </c>
      <c r="T54" s="3">
        <v>0</v>
      </c>
      <c r="U54" s="90">
        <v>-6.0000000000000001E-3</v>
      </c>
      <c r="V54" s="90" t="s">
        <v>568</v>
      </c>
      <c r="W54" s="90" t="s">
        <v>3</v>
      </c>
      <c r="X54" s="10">
        <v>9.4E-2</v>
      </c>
      <c r="Y54" s="6">
        <v>-1.489E-2</v>
      </c>
      <c r="Z54" s="10">
        <v>0.1</v>
      </c>
      <c r="AA54" s="6">
        <v>-6.7409999999999998E-2</v>
      </c>
      <c r="AB54" s="102">
        <v>1841880</v>
      </c>
      <c r="AC54">
        <v>9.2999999999999999E-2</v>
      </c>
      <c r="AD54" s="10">
        <v>5077</v>
      </c>
      <c r="AE54">
        <v>1083943</v>
      </c>
      <c r="AF54" s="10">
        <v>9.6000000000000002E-2</v>
      </c>
    </row>
    <row r="55" spans="1:32" ht="16" customHeight="1" x14ac:dyDescent="0.25">
      <c r="A55" s="105" t="s">
        <v>1143</v>
      </c>
      <c r="C55" s="3" t="s">
        <v>569</v>
      </c>
      <c r="D55" s="91">
        <v>42678</v>
      </c>
      <c r="E55" s="3" t="s">
        <v>407</v>
      </c>
      <c r="F55" s="3">
        <v>0.435</v>
      </c>
      <c r="G55" s="3">
        <v>232974000</v>
      </c>
      <c r="H55" s="3">
        <v>0.45</v>
      </c>
      <c r="I55" s="2">
        <v>0.45</v>
      </c>
      <c r="J55" s="4">
        <v>0.435</v>
      </c>
      <c r="K55" s="1">
        <v>-1.4999999999999999E-2</v>
      </c>
      <c r="L55" s="6">
        <v>-3.3329999999999999E-2</v>
      </c>
      <c r="M55" s="6">
        <v>-0.35075000000000001</v>
      </c>
      <c r="N55" s="6">
        <v>2.78261</v>
      </c>
      <c r="O55" s="89">
        <v>0.115</v>
      </c>
      <c r="P55" s="89">
        <v>0.67</v>
      </c>
      <c r="Q55" s="6" t="s">
        <v>570</v>
      </c>
      <c r="R55" s="9" t="s">
        <v>3</v>
      </c>
      <c r="S55" s="3" t="s">
        <v>3</v>
      </c>
      <c r="T55" s="3">
        <v>0</v>
      </c>
      <c r="U55" s="90">
        <v>-1.6E-2</v>
      </c>
      <c r="V55" s="90" t="s">
        <v>571</v>
      </c>
      <c r="W55" s="90" t="s">
        <v>3</v>
      </c>
      <c r="X55" s="10">
        <v>0.49399999999999999</v>
      </c>
      <c r="Y55" s="6">
        <v>-0.11928999999999999</v>
      </c>
      <c r="Z55" s="10">
        <v>0.42499999999999999</v>
      </c>
      <c r="AA55" s="6">
        <v>2.462E-2</v>
      </c>
      <c r="AB55" s="102">
        <v>1230330</v>
      </c>
      <c r="AC55">
        <v>0.435</v>
      </c>
      <c r="AD55" s="10">
        <v>4000</v>
      </c>
      <c r="AE55">
        <v>318842</v>
      </c>
      <c r="AF55" s="10">
        <v>0.45</v>
      </c>
    </row>
    <row r="56" spans="1:32" ht="16" customHeight="1" x14ac:dyDescent="0.25">
      <c r="A56" s="105" t="s">
        <v>1144</v>
      </c>
      <c r="C56" s="3" t="s">
        <v>572</v>
      </c>
      <c r="D56" s="91">
        <v>42677</v>
      </c>
      <c r="E56" s="3" t="s">
        <v>573</v>
      </c>
      <c r="F56" s="3">
        <v>1.635</v>
      </c>
      <c r="G56" s="3">
        <v>24733000</v>
      </c>
      <c r="H56" s="3">
        <v>1.63</v>
      </c>
      <c r="I56" s="2">
        <v>1.635</v>
      </c>
      <c r="J56" s="4">
        <v>1.63</v>
      </c>
      <c r="K56" s="1">
        <v>0</v>
      </c>
      <c r="L56" s="6">
        <v>0</v>
      </c>
      <c r="M56" s="6">
        <v>-8.659E-2</v>
      </c>
      <c r="N56" s="6">
        <v>0.21110999999999999</v>
      </c>
      <c r="O56" s="89">
        <v>1.35</v>
      </c>
      <c r="P56" s="89">
        <v>1.79</v>
      </c>
      <c r="Q56" s="6" t="s">
        <v>574</v>
      </c>
      <c r="R56" s="9">
        <v>14.217000000000001</v>
      </c>
      <c r="S56" s="3" t="s">
        <v>3</v>
      </c>
      <c r="T56" s="3">
        <v>0</v>
      </c>
      <c r="U56" s="90">
        <v>0.115</v>
      </c>
      <c r="V56" s="90" t="s">
        <v>575</v>
      </c>
      <c r="W56" s="90" t="s">
        <v>3</v>
      </c>
      <c r="X56" s="10">
        <v>1.631</v>
      </c>
      <c r="Y56" s="6">
        <v>2.3999999999999998E-3</v>
      </c>
      <c r="Z56" s="10">
        <v>1.6080000000000001</v>
      </c>
      <c r="AA56" s="6">
        <v>1.6629999999999999E-2</v>
      </c>
      <c r="AB56" s="102">
        <v>4148</v>
      </c>
      <c r="AC56">
        <v>1.635</v>
      </c>
      <c r="AD56" s="10">
        <v>2947</v>
      </c>
      <c r="AE56">
        <v>3003</v>
      </c>
      <c r="AF56" s="10">
        <v>1.635</v>
      </c>
    </row>
    <row r="57" spans="1:32" ht="16" customHeight="1" x14ac:dyDescent="0.25">
      <c r="A57" s="105" t="s">
        <v>1145</v>
      </c>
      <c r="C57" s="3" t="s">
        <v>576</v>
      </c>
      <c r="D57" s="101">
        <v>42678</v>
      </c>
      <c r="E57" s="3" t="s">
        <v>498</v>
      </c>
      <c r="F57" s="3">
        <v>1.93</v>
      </c>
      <c r="G57" s="3">
        <v>83824000</v>
      </c>
      <c r="H57" s="3">
        <v>1.93</v>
      </c>
      <c r="I57" s="2">
        <v>1.93</v>
      </c>
      <c r="J57" s="4">
        <v>1.93</v>
      </c>
      <c r="K57" s="1">
        <v>0</v>
      </c>
      <c r="L57" s="6">
        <v>0</v>
      </c>
      <c r="M57" s="6">
        <v>-0.1227</v>
      </c>
      <c r="N57" s="6">
        <v>0.16969999999999999</v>
      </c>
      <c r="O57">
        <v>1.65</v>
      </c>
      <c r="P57">
        <v>2.2000000000000002</v>
      </c>
      <c r="Q57" t="s">
        <v>577</v>
      </c>
      <c r="R57" s="9">
        <v>27.97</v>
      </c>
      <c r="S57" s="3" t="s">
        <v>3</v>
      </c>
      <c r="T57" s="3">
        <v>4.45</v>
      </c>
      <c r="U57" s="3">
        <v>7.0000000000000007E-2</v>
      </c>
      <c r="V57" s="3" t="s">
        <v>578</v>
      </c>
      <c r="W57" s="3" t="s">
        <v>3</v>
      </c>
      <c r="X57" s="10">
        <v>1.93</v>
      </c>
      <c r="Y57" s="6">
        <v>2.3E-3</v>
      </c>
      <c r="Z57" s="10">
        <v>1.85</v>
      </c>
      <c r="AA57" s="6">
        <v>4.3499999999999997E-2</v>
      </c>
      <c r="AB57" s="102">
        <v>95145</v>
      </c>
      <c r="AC57">
        <v>1.93</v>
      </c>
      <c r="AD57" s="10">
        <v>8000</v>
      </c>
      <c r="AE57">
        <v>79128</v>
      </c>
      <c r="AF57" s="10">
        <v>1.93</v>
      </c>
    </row>
    <row r="58" spans="1:32" ht="16" customHeight="1" x14ac:dyDescent="0.25">
      <c r="A58" s="105" t="s">
        <v>1146</v>
      </c>
      <c r="C58" s="3" t="s">
        <v>579</v>
      </c>
      <c r="D58" s="101">
        <v>42678</v>
      </c>
      <c r="E58" s="3" t="s">
        <v>423</v>
      </c>
      <c r="F58" s="3">
        <v>0.89</v>
      </c>
      <c r="G58" s="3">
        <v>78962000</v>
      </c>
      <c r="H58" s="3">
        <v>0.91</v>
      </c>
      <c r="I58" s="2">
        <v>0.91</v>
      </c>
      <c r="J58" s="4">
        <v>0.89</v>
      </c>
      <c r="K58" s="1">
        <v>-0.02</v>
      </c>
      <c r="L58" s="6">
        <v>-2.1999999999999999E-2</v>
      </c>
      <c r="M58" s="6">
        <v>-0.28799999999999998</v>
      </c>
      <c r="N58" s="6">
        <v>0.15579999999999999</v>
      </c>
      <c r="O58" s="6">
        <v>0.77</v>
      </c>
      <c r="P58">
        <v>1.25</v>
      </c>
      <c r="Q58" t="s">
        <v>580</v>
      </c>
      <c r="R58" s="9">
        <v>34.229999999999997</v>
      </c>
      <c r="S58" s="3" t="s">
        <v>3</v>
      </c>
      <c r="T58" s="3">
        <v>0</v>
      </c>
      <c r="U58" s="3">
        <v>0.03</v>
      </c>
      <c r="V58" s="3" t="s">
        <v>581</v>
      </c>
      <c r="W58" s="3" t="s">
        <v>3</v>
      </c>
      <c r="X58" s="10">
        <v>1.01</v>
      </c>
      <c r="Y58" s="6">
        <v>-0.115</v>
      </c>
      <c r="Z58" s="10">
        <v>0.97</v>
      </c>
      <c r="AA58" s="6">
        <v>-7.7899999999999997E-2</v>
      </c>
      <c r="AB58" s="102">
        <v>675817</v>
      </c>
      <c r="AC58">
        <v>0.89</v>
      </c>
      <c r="AD58" s="10">
        <v>4494</v>
      </c>
      <c r="AE58">
        <v>80910</v>
      </c>
      <c r="AF58" s="10">
        <v>0.91</v>
      </c>
    </row>
    <row r="59" spans="1:32" ht="16" customHeight="1" x14ac:dyDescent="0.25">
      <c r="A59" s="105" t="s">
        <v>1147</v>
      </c>
      <c r="C59" s="3" t="s">
        <v>582</v>
      </c>
      <c r="D59" s="101">
        <v>42678</v>
      </c>
      <c r="E59" s="3" t="s">
        <v>543</v>
      </c>
      <c r="F59" s="3">
        <v>0.54200000000000004</v>
      </c>
      <c r="G59" s="3">
        <v>287516000</v>
      </c>
      <c r="H59" s="3">
        <v>0.54</v>
      </c>
      <c r="I59" s="2">
        <v>0.54500000000000004</v>
      </c>
      <c r="J59" s="4">
        <v>0.53500000000000003</v>
      </c>
      <c r="K59" s="1">
        <v>2E-3</v>
      </c>
      <c r="L59" s="6">
        <v>3.7000000000000002E-3</v>
      </c>
      <c r="M59" s="6">
        <v>-0.56466000000000005</v>
      </c>
      <c r="N59" s="6">
        <v>0.19120999999999999</v>
      </c>
      <c r="O59">
        <v>0.45500000000000002</v>
      </c>
      <c r="P59">
        <v>1.2450000000000001</v>
      </c>
      <c r="Q59" t="s">
        <v>583</v>
      </c>
      <c r="R59" s="9">
        <v>9.8550000000000004</v>
      </c>
      <c r="S59" s="3" t="s">
        <v>3</v>
      </c>
      <c r="T59" s="3">
        <v>0</v>
      </c>
      <c r="U59" s="3">
        <v>5.5E-2</v>
      </c>
      <c r="V59" s="3" t="s">
        <v>584</v>
      </c>
      <c r="W59" s="3" t="s">
        <v>3</v>
      </c>
      <c r="X59" s="10">
        <v>0.59199999999999997</v>
      </c>
      <c r="Y59" s="6">
        <v>-8.5129999999999997E-2</v>
      </c>
      <c r="Z59" s="10">
        <v>0.85599999999999998</v>
      </c>
      <c r="AA59" s="6">
        <v>-0.36675000000000002</v>
      </c>
      <c r="AB59" s="102">
        <v>2028050</v>
      </c>
      <c r="AC59">
        <v>0.54200000000000004</v>
      </c>
      <c r="AD59" s="10">
        <v>153</v>
      </c>
      <c r="AE59">
        <v>388044</v>
      </c>
      <c r="AF59" s="10">
        <v>0.54</v>
      </c>
    </row>
    <row r="60" spans="1:32" ht="16" customHeight="1" x14ac:dyDescent="0.25">
      <c r="A60" s="105" t="s">
        <v>1148</v>
      </c>
      <c r="C60" s="3" t="s">
        <v>585</v>
      </c>
      <c r="D60" s="101">
        <v>42678</v>
      </c>
      <c r="E60" s="3" t="s">
        <v>456</v>
      </c>
      <c r="F60" s="3">
        <v>0.34200000000000003</v>
      </c>
      <c r="G60" s="3">
        <v>401918000</v>
      </c>
      <c r="H60" s="3">
        <v>0.34499999999999997</v>
      </c>
      <c r="I60" s="2">
        <v>0.35</v>
      </c>
      <c r="J60" s="4">
        <v>0.34</v>
      </c>
      <c r="K60" s="1">
        <v>2E-3</v>
      </c>
      <c r="L60" s="6">
        <v>5.8799999999999998E-3</v>
      </c>
      <c r="M60" s="6">
        <v>-0.34231</v>
      </c>
      <c r="N60" s="6">
        <v>1.85</v>
      </c>
      <c r="O60">
        <v>0.12</v>
      </c>
      <c r="P60">
        <v>0.52</v>
      </c>
      <c r="Q60" t="s">
        <v>586</v>
      </c>
      <c r="R60" s="9">
        <v>2.1920000000000002</v>
      </c>
      <c r="S60" s="3" t="s">
        <v>3</v>
      </c>
      <c r="T60" s="3">
        <v>0</v>
      </c>
      <c r="U60" s="3">
        <v>0.156</v>
      </c>
      <c r="V60" s="3" t="s">
        <v>587</v>
      </c>
      <c r="W60" s="3" t="s">
        <v>3</v>
      </c>
      <c r="X60" s="10">
        <v>0.33800000000000002</v>
      </c>
      <c r="Y60" s="6">
        <v>1.192E-2</v>
      </c>
      <c r="Z60" s="10">
        <v>0.39300000000000002</v>
      </c>
      <c r="AA60" s="6">
        <v>-0.13053999999999999</v>
      </c>
      <c r="AB60" s="102">
        <v>685111</v>
      </c>
      <c r="AC60">
        <v>0.34200000000000003</v>
      </c>
      <c r="AD60" s="10">
        <v>332</v>
      </c>
      <c r="AE60">
        <v>126487</v>
      </c>
      <c r="AF60" s="10">
        <v>0.34</v>
      </c>
    </row>
    <row r="61" spans="1:32" ht="16" customHeight="1" x14ac:dyDescent="0.25">
      <c r="A61" s="105" t="s">
        <v>1149</v>
      </c>
      <c r="C61" s="3" t="s">
        <v>588</v>
      </c>
      <c r="D61" s="101">
        <v>42675</v>
      </c>
      <c r="E61" s="3" t="s">
        <v>589</v>
      </c>
      <c r="F61" s="3">
        <v>0.63</v>
      </c>
      <c r="G61" s="3">
        <v>198601000</v>
      </c>
      <c r="H61" s="3">
        <v>0.65</v>
      </c>
      <c r="I61" s="2">
        <v>0.67</v>
      </c>
      <c r="J61" s="4">
        <v>0.62</v>
      </c>
      <c r="K61" s="1">
        <v>0</v>
      </c>
      <c r="L61" s="6">
        <v>0</v>
      </c>
      <c r="M61" s="6">
        <v>-0.18179999999999999</v>
      </c>
      <c r="N61" s="6">
        <v>5.3635999999999999</v>
      </c>
      <c r="O61">
        <v>0.1</v>
      </c>
      <c r="P61">
        <v>0.77</v>
      </c>
      <c r="Q61" t="s">
        <v>590</v>
      </c>
      <c r="R61" s="9" t="s">
        <v>3</v>
      </c>
      <c r="S61" s="3" t="s">
        <v>3</v>
      </c>
      <c r="T61" s="3">
        <v>0</v>
      </c>
      <c r="U61" s="3">
        <v>-0.06</v>
      </c>
      <c r="V61" s="3" t="s">
        <v>591</v>
      </c>
      <c r="W61" s="3" t="s">
        <v>3</v>
      </c>
      <c r="X61" s="10">
        <v>0.66</v>
      </c>
      <c r="Y61" s="6">
        <v>-0.04</v>
      </c>
      <c r="Z61" s="10">
        <v>0.41</v>
      </c>
      <c r="AA61" s="6">
        <v>0.54349999999999998</v>
      </c>
      <c r="AB61" s="102">
        <v>1132120</v>
      </c>
      <c r="AC61">
        <v>0.63</v>
      </c>
      <c r="AD61" s="10">
        <v>12000</v>
      </c>
      <c r="AE61">
        <v>365715</v>
      </c>
      <c r="AF61" s="10">
        <v>0.63</v>
      </c>
    </row>
    <row r="62" spans="1:32" ht="16" customHeight="1" x14ac:dyDescent="0.25">
      <c r="A62" s="105" t="s">
        <v>1150</v>
      </c>
      <c r="C62" s="3" t="s">
        <v>592</v>
      </c>
      <c r="D62" s="101">
        <v>42678</v>
      </c>
      <c r="E62" s="3" t="s">
        <v>593</v>
      </c>
      <c r="F62" s="3">
        <v>1.03</v>
      </c>
      <c r="G62" s="3">
        <v>145125000</v>
      </c>
      <c r="H62" s="3">
        <v>1.02</v>
      </c>
      <c r="I62" s="2">
        <v>1.03</v>
      </c>
      <c r="J62" s="4">
        <v>1.02</v>
      </c>
      <c r="K62" s="1">
        <v>0</v>
      </c>
      <c r="L62" s="6">
        <v>4.8999999999999998E-3</v>
      </c>
      <c r="M62" s="6">
        <v>-6.3600000000000004E-2</v>
      </c>
      <c r="N62" s="6">
        <v>1.06</v>
      </c>
      <c r="O62">
        <v>0.5</v>
      </c>
      <c r="P62">
        <v>1.1000000000000001</v>
      </c>
      <c r="Q62" t="s">
        <v>594</v>
      </c>
      <c r="R62" s="9">
        <v>17.760000000000002</v>
      </c>
      <c r="S62" s="3" t="s">
        <v>3</v>
      </c>
      <c r="T62" s="3">
        <v>1.1299999999999999</v>
      </c>
      <c r="U62" s="3">
        <v>0.06</v>
      </c>
      <c r="V62" s="3" t="s">
        <v>595</v>
      </c>
      <c r="W62" s="3" t="s">
        <v>3</v>
      </c>
      <c r="X62" s="10">
        <v>1.05</v>
      </c>
      <c r="Y62" s="6">
        <v>-1.7000000000000001E-2</v>
      </c>
      <c r="Z62" s="10">
        <v>0.76</v>
      </c>
      <c r="AA62" s="6">
        <v>0.35809999999999997</v>
      </c>
      <c r="AB62" s="102">
        <v>898999</v>
      </c>
      <c r="AC62">
        <v>1.03</v>
      </c>
      <c r="AD62" s="10">
        <v>47</v>
      </c>
      <c r="AE62">
        <v>138503</v>
      </c>
      <c r="AF62" s="10">
        <v>1.02</v>
      </c>
    </row>
    <row r="63" spans="1:32" ht="16" customHeight="1" x14ac:dyDescent="0.25">
      <c r="A63" s="105" t="s">
        <v>1151</v>
      </c>
      <c r="C63" s="3" t="s">
        <v>596</v>
      </c>
      <c r="D63" s="101">
        <v>42678</v>
      </c>
      <c r="E63" s="3" t="s">
        <v>490</v>
      </c>
      <c r="F63" s="3">
        <v>2.08</v>
      </c>
      <c r="G63" s="3">
        <v>52676000</v>
      </c>
      <c r="H63" s="3">
        <v>2.13</v>
      </c>
      <c r="I63" s="2">
        <v>2.13</v>
      </c>
      <c r="J63" s="4">
        <v>2.08</v>
      </c>
      <c r="K63" s="1">
        <v>-0.04</v>
      </c>
      <c r="L63" s="6">
        <v>-1.89E-2</v>
      </c>
      <c r="M63" s="6">
        <v>-0.1111</v>
      </c>
      <c r="N63" s="6">
        <v>0.32479999999999998</v>
      </c>
      <c r="O63">
        <v>1.57</v>
      </c>
      <c r="P63">
        <v>2.34</v>
      </c>
      <c r="Q63" t="s">
        <v>597</v>
      </c>
      <c r="R63" s="9" t="s">
        <v>3</v>
      </c>
      <c r="S63" s="3" t="s">
        <v>3</v>
      </c>
      <c r="T63" s="3">
        <v>0</v>
      </c>
      <c r="U63" s="3">
        <v>-0.01</v>
      </c>
      <c r="V63" s="3" t="s">
        <v>598</v>
      </c>
      <c r="W63" s="3" t="s">
        <v>3</v>
      </c>
      <c r="X63" s="10">
        <v>2.17</v>
      </c>
      <c r="Y63" s="6">
        <v>-4.1099999999999998E-2</v>
      </c>
      <c r="Z63" s="10">
        <v>2.0299999999999998</v>
      </c>
      <c r="AA63" s="6">
        <v>2.5399999999999999E-2</v>
      </c>
      <c r="AB63" s="102">
        <v>103972</v>
      </c>
      <c r="AC63">
        <v>2.08</v>
      </c>
      <c r="AD63" s="10">
        <v>225</v>
      </c>
      <c r="AE63">
        <v>164559</v>
      </c>
      <c r="AF63" s="10">
        <v>2.12</v>
      </c>
    </row>
    <row r="64" spans="1:32" ht="16" customHeight="1" x14ac:dyDescent="0.25">
      <c r="A64" s="105" t="s">
        <v>1152</v>
      </c>
      <c r="C64" s="3" t="s">
        <v>599</v>
      </c>
      <c r="D64" s="101">
        <v>42678</v>
      </c>
      <c r="E64" s="3" t="s">
        <v>600</v>
      </c>
      <c r="F64" s="3">
        <v>0.06</v>
      </c>
      <c r="G64" s="3">
        <v>3303132000</v>
      </c>
      <c r="H64" s="3">
        <v>0.05</v>
      </c>
      <c r="I64" s="2">
        <v>0.06</v>
      </c>
      <c r="J64" s="4">
        <v>0.05</v>
      </c>
      <c r="K64" s="1">
        <v>0.01</v>
      </c>
      <c r="L64" s="6">
        <v>0.1111</v>
      </c>
      <c r="M64" s="6">
        <v>-0.57750000000000001</v>
      </c>
      <c r="N64" s="6">
        <v>0.25</v>
      </c>
      <c r="O64">
        <v>0.05</v>
      </c>
      <c r="P64">
        <v>0.14000000000000001</v>
      </c>
      <c r="Q64" t="s">
        <v>541</v>
      </c>
      <c r="R64" s="9" t="s">
        <v>3</v>
      </c>
      <c r="S64" s="3" t="s">
        <v>3</v>
      </c>
      <c r="T64" s="3">
        <v>0</v>
      </c>
      <c r="U64" s="3">
        <v>-0.03</v>
      </c>
      <c r="V64" s="3" t="s">
        <v>601</v>
      </c>
      <c r="W64" s="3" t="s">
        <v>3</v>
      </c>
      <c r="X64" s="10">
        <v>0.06</v>
      </c>
      <c r="Y64" s="6">
        <v>4.4699999999999997E-2</v>
      </c>
      <c r="Z64" s="10">
        <v>7.0000000000000007E-2</v>
      </c>
      <c r="AA64" s="6">
        <v>-8.5599999999999996E-2</v>
      </c>
      <c r="AB64" s="102">
        <v>6600670</v>
      </c>
      <c r="AC64">
        <v>0.06</v>
      </c>
      <c r="AD64" s="10">
        <v>33546</v>
      </c>
      <c r="AE64">
        <v>11777524</v>
      </c>
      <c r="AF64" s="10">
        <v>0.05</v>
      </c>
    </row>
    <row r="65" spans="1:32" ht="16" customHeight="1" x14ac:dyDescent="0.25">
      <c r="A65" s="105" t="s">
        <v>1153</v>
      </c>
      <c r="C65" s="3" t="s">
        <v>602</v>
      </c>
      <c r="D65" s="101">
        <v>42678</v>
      </c>
      <c r="E65" s="3" t="s">
        <v>603</v>
      </c>
      <c r="F65" s="3">
        <v>2.1</v>
      </c>
      <c r="G65" s="3">
        <v>473217000</v>
      </c>
      <c r="H65" s="3">
        <v>2.1</v>
      </c>
      <c r="I65" s="2">
        <v>2.1</v>
      </c>
      <c r="J65" s="4">
        <v>2.1</v>
      </c>
      <c r="K65" s="1">
        <v>0</v>
      </c>
      <c r="L65" s="6">
        <v>0</v>
      </c>
      <c r="M65" s="6">
        <v>-0.125</v>
      </c>
      <c r="N65" s="6">
        <v>0.1351</v>
      </c>
      <c r="O65">
        <v>1.85</v>
      </c>
      <c r="P65">
        <v>2.4</v>
      </c>
      <c r="Q65" t="s">
        <v>604</v>
      </c>
      <c r="R65" s="9" t="s">
        <v>3</v>
      </c>
      <c r="S65" s="3" t="s">
        <v>3</v>
      </c>
      <c r="T65" s="3">
        <v>0</v>
      </c>
      <c r="U65" s="3">
        <v>-0.05</v>
      </c>
      <c r="V65" s="3" t="s">
        <v>605</v>
      </c>
      <c r="W65" s="3" t="s">
        <v>3</v>
      </c>
      <c r="X65" s="10">
        <v>2.16</v>
      </c>
      <c r="Y65" s="6">
        <v>-2.7400000000000001E-2</v>
      </c>
      <c r="Z65" s="10">
        <v>2.17</v>
      </c>
      <c r="AA65" s="6">
        <v>-3.04E-2</v>
      </c>
      <c r="AB65" s="102">
        <v>437517</v>
      </c>
      <c r="AC65">
        <v>2.1</v>
      </c>
      <c r="AD65" s="10">
        <v>1</v>
      </c>
      <c r="AE65">
        <v>2</v>
      </c>
      <c r="AF65" s="10">
        <v>2.1</v>
      </c>
    </row>
    <row r="66" spans="1:32" ht="16" customHeight="1" x14ac:dyDescent="0.25">
      <c r="A66" s="105" t="s">
        <v>1154</v>
      </c>
      <c r="C66" s="3" t="s">
        <v>606</v>
      </c>
      <c r="D66" s="101">
        <v>42678</v>
      </c>
      <c r="E66" s="3" t="s">
        <v>407</v>
      </c>
      <c r="F66" s="3">
        <v>0.81499999999999995</v>
      </c>
      <c r="G66" s="3">
        <v>124907000</v>
      </c>
      <c r="H66" s="3">
        <v>0.85499999999999998</v>
      </c>
      <c r="I66" s="2">
        <v>0.85499999999999998</v>
      </c>
      <c r="J66" s="4">
        <v>0.80500000000000005</v>
      </c>
      <c r="K66" s="1">
        <v>-0.04</v>
      </c>
      <c r="L66" s="6">
        <v>-4.6780000000000002E-2</v>
      </c>
      <c r="M66" s="6">
        <v>-0.30931999999999998</v>
      </c>
      <c r="N66" s="6">
        <v>3.4054099999999998</v>
      </c>
      <c r="O66">
        <v>0.185</v>
      </c>
      <c r="P66">
        <v>1.18</v>
      </c>
      <c r="Q66" t="s">
        <v>607</v>
      </c>
      <c r="R66" s="9" t="s">
        <v>3</v>
      </c>
      <c r="S66" s="3" t="s">
        <v>3</v>
      </c>
      <c r="T66" s="3">
        <v>0</v>
      </c>
      <c r="U66" s="3">
        <v>-8.8999999999999996E-2</v>
      </c>
      <c r="V66" s="3" t="s">
        <v>608</v>
      </c>
      <c r="W66" s="3" t="s">
        <v>3</v>
      </c>
      <c r="X66" s="10">
        <v>0.94799999999999995</v>
      </c>
      <c r="Y66" s="6">
        <v>-0.14002999999999999</v>
      </c>
      <c r="Z66" s="10">
        <v>0.77400000000000002</v>
      </c>
      <c r="AA66" s="6">
        <v>5.3030000000000001E-2</v>
      </c>
      <c r="AB66" s="102">
        <v>1053130</v>
      </c>
      <c r="AC66">
        <v>0.81499999999999995</v>
      </c>
      <c r="AD66" s="10">
        <v>75</v>
      </c>
      <c r="AE66">
        <v>1060326</v>
      </c>
      <c r="AF66" s="10">
        <v>0.85499999999999998</v>
      </c>
    </row>
    <row r="67" spans="1:32" ht="16" customHeight="1" x14ac:dyDescent="0.25">
      <c r="A67" s="105" t="s">
        <v>1155</v>
      </c>
      <c r="C67" s="3" t="s">
        <v>609</v>
      </c>
      <c r="D67" s="101">
        <v>42677</v>
      </c>
      <c r="E67" s="3" t="s">
        <v>610</v>
      </c>
      <c r="F67" s="3">
        <v>3.46</v>
      </c>
      <c r="G67" s="3">
        <v>23284000</v>
      </c>
      <c r="H67" s="3">
        <v>3.48</v>
      </c>
      <c r="I67" s="2">
        <v>3.48</v>
      </c>
      <c r="J67" s="4">
        <v>3.45</v>
      </c>
      <c r="K67" s="1">
        <v>0</v>
      </c>
      <c r="L67" s="6">
        <v>0</v>
      </c>
      <c r="M67" s="6">
        <v>-5.21E-2</v>
      </c>
      <c r="N67" s="6">
        <v>0.22259999999999999</v>
      </c>
      <c r="O67">
        <v>2.83</v>
      </c>
      <c r="P67">
        <v>3.65</v>
      </c>
      <c r="Q67" t="s">
        <v>611</v>
      </c>
      <c r="R67" s="9">
        <v>8.4600000000000009</v>
      </c>
      <c r="S67" s="3" t="s">
        <v>3</v>
      </c>
      <c r="T67" s="3">
        <v>0</v>
      </c>
      <c r="U67" s="3">
        <v>0.41</v>
      </c>
      <c r="V67" s="3" t="s">
        <v>612</v>
      </c>
      <c r="W67" s="3" t="s">
        <v>3</v>
      </c>
      <c r="X67" s="10">
        <v>3.51</v>
      </c>
      <c r="Y67" s="6">
        <v>-1.3100000000000001E-2</v>
      </c>
      <c r="Z67" s="10">
        <v>3.42</v>
      </c>
      <c r="AA67" s="6">
        <v>1.18E-2</v>
      </c>
      <c r="AB67" s="102">
        <v>28343</v>
      </c>
      <c r="AC67">
        <v>3.46</v>
      </c>
      <c r="AD67" s="10">
        <v>10000</v>
      </c>
      <c r="AE67">
        <v>15449</v>
      </c>
      <c r="AF67" s="10">
        <v>3.46</v>
      </c>
    </row>
    <row r="68" spans="1:32" ht="16" customHeight="1" x14ac:dyDescent="0.25">
      <c r="A68" s="105" t="s">
        <v>1156</v>
      </c>
      <c r="C68" s="3" t="s">
        <v>613</v>
      </c>
      <c r="D68" s="101">
        <v>42677</v>
      </c>
      <c r="E68" s="3" t="s">
        <v>26</v>
      </c>
      <c r="F68" s="3">
        <v>0.69</v>
      </c>
      <c r="G68" s="3">
        <v>94641000</v>
      </c>
      <c r="H68" s="3">
        <v>0.69</v>
      </c>
      <c r="I68" s="2">
        <v>0.69</v>
      </c>
      <c r="J68" s="4">
        <v>0.69</v>
      </c>
      <c r="K68" s="1">
        <v>0</v>
      </c>
      <c r="L68" s="6">
        <v>0</v>
      </c>
      <c r="M68" s="6">
        <v>-0.18820000000000001</v>
      </c>
      <c r="N68" s="6">
        <v>0.56820000000000004</v>
      </c>
      <c r="O68">
        <v>0.44</v>
      </c>
      <c r="P68">
        <v>0.85</v>
      </c>
      <c r="Q68" t="s">
        <v>614</v>
      </c>
      <c r="R68" s="9">
        <v>11.5</v>
      </c>
      <c r="S68" s="3" t="s">
        <v>3</v>
      </c>
      <c r="T68" s="3">
        <v>0</v>
      </c>
      <c r="U68" s="3">
        <v>0.06</v>
      </c>
      <c r="V68" s="3">
        <v>0</v>
      </c>
      <c r="W68" s="3" t="s">
        <v>3</v>
      </c>
      <c r="X68" s="10">
        <v>0.73</v>
      </c>
      <c r="Y68" s="6">
        <v>-5.2200000000000003E-2</v>
      </c>
      <c r="Z68" s="10">
        <v>0.65</v>
      </c>
      <c r="AA68" s="6">
        <v>6.8699999999999997E-2</v>
      </c>
      <c r="AB68" s="102">
        <v>177057</v>
      </c>
      <c r="AC68">
        <v>0.69</v>
      </c>
      <c r="AD68" s="10">
        <v>378</v>
      </c>
      <c r="AE68">
        <v>4444</v>
      </c>
      <c r="AF68" s="10">
        <v>0.69</v>
      </c>
    </row>
    <row r="69" spans="1:32" ht="16" customHeight="1" x14ac:dyDescent="0.25">
      <c r="A69" s="105" t="s">
        <v>1157</v>
      </c>
      <c r="C69" s="3" t="s">
        <v>615</v>
      </c>
      <c r="D69" s="101">
        <v>42678</v>
      </c>
      <c r="E69" s="3" t="s">
        <v>490</v>
      </c>
      <c r="F69" s="3">
        <v>0.47</v>
      </c>
      <c r="G69" s="3">
        <v>321636000</v>
      </c>
      <c r="H69" s="3">
        <v>0.47</v>
      </c>
      <c r="I69" s="2">
        <v>0.47</v>
      </c>
      <c r="J69" s="4">
        <v>0.47</v>
      </c>
      <c r="K69" s="1">
        <v>0</v>
      </c>
      <c r="L69" s="6">
        <v>1.0800000000000001E-2</v>
      </c>
      <c r="M69" s="6">
        <v>-0.1215</v>
      </c>
      <c r="N69" s="6">
        <v>0.80769999999999997</v>
      </c>
      <c r="O69">
        <v>0.26</v>
      </c>
      <c r="P69">
        <v>0.54</v>
      </c>
      <c r="Q69" t="s">
        <v>616</v>
      </c>
      <c r="R69" s="9">
        <v>235</v>
      </c>
      <c r="S69" s="3" t="s">
        <v>3</v>
      </c>
      <c r="T69" s="3">
        <v>0.34</v>
      </c>
      <c r="U69" s="3">
        <v>0</v>
      </c>
      <c r="V69" s="3" t="s">
        <v>617</v>
      </c>
      <c r="W69" s="3" t="s">
        <v>3</v>
      </c>
      <c r="X69" s="10">
        <v>0.45</v>
      </c>
      <c r="Y69" s="6">
        <v>4.07E-2</v>
      </c>
      <c r="Z69" s="10">
        <v>0.38</v>
      </c>
      <c r="AA69" s="6">
        <v>0.25</v>
      </c>
      <c r="AB69" s="102">
        <v>1253460</v>
      </c>
      <c r="AC69">
        <v>0.47</v>
      </c>
      <c r="AD69" s="10">
        <v>3</v>
      </c>
      <c r="AE69">
        <v>88129</v>
      </c>
      <c r="AF69" s="10">
        <v>0.47</v>
      </c>
    </row>
    <row r="70" spans="1:32" ht="16" customHeight="1" x14ac:dyDescent="0.25">
      <c r="A70" s="105" t="s">
        <v>1158</v>
      </c>
      <c r="C70" s="3" t="s">
        <v>618</v>
      </c>
      <c r="D70" s="101">
        <v>42678</v>
      </c>
      <c r="E70" s="3" t="s">
        <v>619</v>
      </c>
      <c r="F70" s="3">
        <v>1.0649999999999999</v>
      </c>
      <c r="G70" s="3" t="s">
        <v>3</v>
      </c>
      <c r="H70" s="3">
        <v>1.0900000000000001</v>
      </c>
      <c r="I70" s="2">
        <v>1.0900000000000001</v>
      </c>
      <c r="J70" s="4">
        <v>1.0549999999999999</v>
      </c>
      <c r="K70" s="1">
        <v>-0.03</v>
      </c>
      <c r="L70" s="6">
        <v>-2.7400000000000001E-2</v>
      </c>
      <c r="M70" s="6">
        <v>-0.1125</v>
      </c>
      <c r="N70" s="6">
        <v>0.20338999999999999</v>
      </c>
      <c r="O70">
        <v>0.88500000000000001</v>
      </c>
      <c r="P70">
        <v>1.2</v>
      </c>
      <c r="Q70" t="s">
        <v>3</v>
      </c>
      <c r="R70" s="9" t="s">
        <v>3</v>
      </c>
      <c r="S70" s="3" t="s">
        <v>3</v>
      </c>
      <c r="T70" s="3">
        <v>0</v>
      </c>
      <c r="U70" s="3">
        <v>0.107</v>
      </c>
      <c r="V70" s="3">
        <v>0</v>
      </c>
      <c r="W70" s="3" t="s">
        <v>3</v>
      </c>
      <c r="X70" s="10">
        <v>1.131</v>
      </c>
      <c r="Y70" s="6">
        <v>-5.8169999999999999E-2</v>
      </c>
      <c r="Z70" s="10">
        <v>1.052</v>
      </c>
      <c r="AA70" s="6">
        <v>1.221E-2</v>
      </c>
      <c r="AB70" s="102">
        <v>169068</v>
      </c>
      <c r="AC70">
        <v>1.0649999999999999</v>
      </c>
      <c r="AD70" s="10">
        <v>5187</v>
      </c>
      <c r="AE70">
        <v>353116</v>
      </c>
      <c r="AF70" s="10">
        <v>1.095</v>
      </c>
    </row>
    <row r="71" spans="1:32" ht="16" customHeight="1" x14ac:dyDescent="0.25">
      <c r="A71" s="105" t="s">
        <v>1159</v>
      </c>
      <c r="C71" s="3" t="s">
        <v>620</v>
      </c>
      <c r="D71" s="101">
        <v>42678</v>
      </c>
      <c r="E71" s="3" t="s">
        <v>543</v>
      </c>
      <c r="F71" s="3">
        <v>0.315</v>
      </c>
      <c r="G71" s="3">
        <v>355681000</v>
      </c>
      <c r="H71" s="3">
        <v>0.31</v>
      </c>
      <c r="I71" s="2">
        <v>0.32</v>
      </c>
      <c r="J71" s="4">
        <v>0.31</v>
      </c>
      <c r="K71" s="1">
        <v>5.0000000000000001E-3</v>
      </c>
      <c r="L71" s="6">
        <v>1.6129999999999999E-2</v>
      </c>
      <c r="M71" s="6">
        <v>-0.11441999999999999</v>
      </c>
      <c r="N71" s="6">
        <v>1.4920899999999999</v>
      </c>
      <c r="O71">
        <v>0.126</v>
      </c>
      <c r="P71">
        <v>0.35599999999999998</v>
      </c>
      <c r="Q71" t="s">
        <v>621</v>
      </c>
      <c r="R71" s="9" t="s">
        <v>3</v>
      </c>
      <c r="S71" s="3" t="s">
        <v>3</v>
      </c>
      <c r="T71" s="3">
        <v>0</v>
      </c>
      <c r="U71" s="3">
        <v>-0.10199999999999999</v>
      </c>
      <c r="V71" s="3" t="s">
        <v>622</v>
      </c>
      <c r="W71" s="3" t="s">
        <v>3</v>
      </c>
      <c r="X71" s="10">
        <v>0.33900000000000002</v>
      </c>
      <c r="Y71" s="6">
        <v>-7.1459999999999996E-2</v>
      </c>
      <c r="Z71" s="10">
        <v>0.27200000000000002</v>
      </c>
      <c r="AA71" s="6">
        <v>0.158</v>
      </c>
      <c r="AB71" s="102">
        <v>649033</v>
      </c>
      <c r="AC71">
        <v>0.315</v>
      </c>
      <c r="AD71" s="10">
        <v>152</v>
      </c>
      <c r="AE71">
        <v>1539533</v>
      </c>
      <c r="AF71" s="10">
        <v>0.31</v>
      </c>
    </row>
    <row r="72" spans="1:32" ht="16" customHeight="1" x14ac:dyDescent="0.25">
      <c r="A72" s="105" t="s">
        <v>1160</v>
      </c>
      <c r="C72" s="3" t="s">
        <v>623</v>
      </c>
      <c r="D72" s="101">
        <v>42678</v>
      </c>
      <c r="E72" s="3" t="s">
        <v>624</v>
      </c>
      <c r="F72" s="3">
        <v>3.65</v>
      </c>
      <c r="G72" s="3">
        <v>10886000</v>
      </c>
      <c r="H72" s="3">
        <v>3.65</v>
      </c>
      <c r="I72" s="2">
        <v>3.65</v>
      </c>
      <c r="J72" s="4">
        <v>3.65</v>
      </c>
      <c r="K72" s="1">
        <v>-0.02</v>
      </c>
      <c r="L72" s="6">
        <v>-5.4000000000000003E-3</v>
      </c>
      <c r="M72" s="6">
        <v>-5.1900000000000002E-2</v>
      </c>
      <c r="N72" s="6">
        <v>7.3499999999999996E-2</v>
      </c>
      <c r="O72">
        <v>3.4</v>
      </c>
      <c r="P72">
        <v>3.85</v>
      </c>
      <c r="Q72" t="s">
        <v>625</v>
      </c>
      <c r="R72" s="9">
        <v>24.33</v>
      </c>
      <c r="S72" s="3" t="s">
        <v>3</v>
      </c>
      <c r="T72" s="3">
        <v>90</v>
      </c>
      <c r="U72" s="3">
        <v>0.15</v>
      </c>
      <c r="V72" s="3" t="s">
        <v>626</v>
      </c>
      <c r="W72" s="3" t="s">
        <v>3</v>
      </c>
      <c r="X72" s="10">
        <v>3.61</v>
      </c>
      <c r="Y72" s="6">
        <v>1.24E-2</v>
      </c>
      <c r="Z72" s="10">
        <v>3.62</v>
      </c>
      <c r="AA72" s="6">
        <v>8.5000000000000006E-3</v>
      </c>
      <c r="AB72" s="102">
        <v>5789</v>
      </c>
      <c r="AC72">
        <v>3.65</v>
      </c>
      <c r="AD72" s="10">
        <v>2200</v>
      </c>
      <c r="AE72">
        <v>4400</v>
      </c>
      <c r="AF72" s="10">
        <v>3.67</v>
      </c>
    </row>
    <row r="73" spans="1:32" ht="16" customHeight="1" x14ac:dyDescent="0.25">
      <c r="A73" s="105" t="s">
        <v>1161</v>
      </c>
      <c r="C73" s="3" t="s">
        <v>627</v>
      </c>
      <c r="D73" s="101">
        <v>42678</v>
      </c>
      <c r="E73" s="3" t="s">
        <v>411</v>
      </c>
      <c r="F73" s="3">
        <v>0.9</v>
      </c>
      <c r="G73" s="3">
        <v>70948000</v>
      </c>
      <c r="H73" s="3">
        <v>0.89</v>
      </c>
      <c r="I73" s="2">
        <v>0.9</v>
      </c>
      <c r="J73" s="4">
        <v>0.89</v>
      </c>
      <c r="K73" s="1">
        <v>0.03</v>
      </c>
      <c r="L73" s="6">
        <v>3.4500000000000003E-2</v>
      </c>
      <c r="M73" s="6">
        <v>-0.4118</v>
      </c>
      <c r="N73" s="6">
        <v>4.65E-2</v>
      </c>
      <c r="O73">
        <v>0.86</v>
      </c>
      <c r="P73">
        <v>1.53</v>
      </c>
      <c r="Q73" t="s">
        <v>628</v>
      </c>
      <c r="R73" s="9" t="s">
        <v>3</v>
      </c>
      <c r="S73" s="3" t="s">
        <v>3</v>
      </c>
      <c r="T73" s="3">
        <v>0</v>
      </c>
      <c r="U73" s="3">
        <v>-0.13</v>
      </c>
      <c r="V73" s="3" t="s">
        <v>629</v>
      </c>
      <c r="W73" s="3" t="s">
        <v>3</v>
      </c>
      <c r="X73" s="10">
        <v>0.96</v>
      </c>
      <c r="Y73" s="6">
        <v>-6.0900000000000003E-2</v>
      </c>
      <c r="Z73" s="10">
        <v>1.08</v>
      </c>
      <c r="AA73" s="6">
        <v>-0.1673</v>
      </c>
      <c r="AB73" s="102">
        <v>122943</v>
      </c>
      <c r="AC73">
        <v>0.9</v>
      </c>
      <c r="AD73" s="10">
        <v>56</v>
      </c>
      <c r="AE73">
        <v>9500</v>
      </c>
      <c r="AF73" s="10">
        <v>0.87</v>
      </c>
    </row>
    <row r="74" spans="1:32" ht="16" customHeight="1" x14ac:dyDescent="0.25">
      <c r="A74" s="105" t="s">
        <v>1162</v>
      </c>
      <c r="C74" s="3" t="s">
        <v>630</v>
      </c>
      <c r="D74" s="101">
        <v>42678</v>
      </c>
      <c r="E74" s="3" t="s">
        <v>631</v>
      </c>
      <c r="F74" s="3">
        <v>0.53700000000000003</v>
      </c>
      <c r="G74" s="3">
        <v>249772000</v>
      </c>
      <c r="H74" s="3">
        <v>0.55500000000000005</v>
      </c>
      <c r="I74" s="2">
        <v>0.55500000000000005</v>
      </c>
      <c r="J74" s="4">
        <v>0.53500000000000003</v>
      </c>
      <c r="K74" s="1">
        <v>-1.7999999999999999E-2</v>
      </c>
      <c r="L74" s="6">
        <v>-3.243E-2</v>
      </c>
      <c r="M74" s="6">
        <v>-0.20444000000000001</v>
      </c>
      <c r="N74" s="6">
        <v>12.425000000000001</v>
      </c>
      <c r="O74">
        <v>0.04</v>
      </c>
      <c r="P74">
        <v>0.67500000000000004</v>
      </c>
      <c r="Q74" t="s">
        <v>632</v>
      </c>
      <c r="R74" s="9">
        <v>6.9740000000000002</v>
      </c>
      <c r="S74" s="3" t="s">
        <v>3</v>
      </c>
      <c r="T74" s="3">
        <v>-0.21</v>
      </c>
      <c r="U74" s="3">
        <v>7.6999999999999999E-2</v>
      </c>
      <c r="V74" s="3" t="s">
        <v>633</v>
      </c>
      <c r="W74" s="3" t="s">
        <v>3</v>
      </c>
      <c r="X74" s="10">
        <v>0.56799999999999995</v>
      </c>
      <c r="Y74" s="6">
        <v>-5.4309999999999997E-2</v>
      </c>
      <c r="Z74" s="10">
        <v>0.38100000000000001</v>
      </c>
      <c r="AA74" s="6">
        <v>0.40937000000000001</v>
      </c>
      <c r="AB74" s="102">
        <v>1407640</v>
      </c>
      <c r="AC74">
        <v>0.53700000000000003</v>
      </c>
      <c r="AD74" s="10">
        <v>7000</v>
      </c>
      <c r="AE74">
        <v>332815</v>
      </c>
      <c r="AF74" s="10">
        <v>0.55500000000000005</v>
      </c>
    </row>
    <row r="75" spans="1:32" ht="16" customHeight="1" x14ac:dyDescent="0.25">
      <c r="A75" s="105" t="s">
        <v>1163</v>
      </c>
      <c r="C75" s="3" t="s">
        <v>634</v>
      </c>
      <c r="D75" s="101">
        <v>42678</v>
      </c>
      <c r="E75" s="3" t="s">
        <v>431</v>
      </c>
      <c r="F75" s="3">
        <v>0.59</v>
      </c>
      <c r="G75" s="3">
        <v>221340000</v>
      </c>
      <c r="H75" s="3">
        <v>0.6</v>
      </c>
      <c r="I75" s="2">
        <v>0.6</v>
      </c>
      <c r="J75" s="4">
        <v>0.57999999999999996</v>
      </c>
      <c r="K75" s="1">
        <v>0</v>
      </c>
      <c r="L75" s="6">
        <v>0</v>
      </c>
      <c r="M75" s="6">
        <v>-0.39489999999999997</v>
      </c>
      <c r="N75" s="6">
        <v>0.26879999999999998</v>
      </c>
      <c r="O75">
        <v>0.47</v>
      </c>
      <c r="P75">
        <v>0.98</v>
      </c>
      <c r="Q75" t="s">
        <v>635</v>
      </c>
      <c r="R75" s="9" t="s">
        <v>3</v>
      </c>
      <c r="S75" s="3" t="s">
        <v>3</v>
      </c>
      <c r="T75" s="3">
        <v>0</v>
      </c>
      <c r="U75" s="3">
        <v>-7.0000000000000007E-2</v>
      </c>
      <c r="V75" s="3" t="s">
        <v>636</v>
      </c>
      <c r="W75" s="3" t="s">
        <v>3</v>
      </c>
      <c r="X75" s="10">
        <v>0.59</v>
      </c>
      <c r="Y75" s="6">
        <v>1.1000000000000001E-3</v>
      </c>
      <c r="Z75" s="10">
        <v>0.63</v>
      </c>
      <c r="AA75" s="6">
        <v>-6.4899999999999999E-2</v>
      </c>
      <c r="AB75" s="102">
        <v>676237</v>
      </c>
      <c r="AC75">
        <v>0.59</v>
      </c>
      <c r="AD75" s="10">
        <v>36</v>
      </c>
      <c r="AE75">
        <v>249304</v>
      </c>
      <c r="AF75" s="10">
        <v>0.59</v>
      </c>
    </row>
    <row r="76" spans="1:32" ht="16" customHeight="1" x14ac:dyDescent="0.25">
      <c r="A76" s="105" t="s">
        <v>1164</v>
      </c>
      <c r="C76" s="3" t="s">
        <v>637</v>
      </c>
      <c r="D76" s="101">
        <v>42678</v>
      </c>
      <c r="E76" s="3" t="s">
        <v>638</v>
      </c>
      <c r="F76" s="3">
        <v>2.25</v>
      </c>
      <c r="G76" s="3" t="s">
        <v>3</v>
      </c>
      <c r="H76" s="3">
        <v>2.27</v>
      </c>
      <c r="I76" s="2">
        <v>2.2799999999999998</v>
      </c>
      <c r="J76" s="4">
        <v>2.23</v>
      </c>
      <c r="K76" s="1">
        <v>-0.02</v>
      </c>
      <c r="L76" s="6">
        <v>-8.8000000000000005E-3</v>
      </c>
      <c r="M76" s="6">
        <v>-0.28339999999999999</v>
      </c>
      <c r="N76" s="6">
        <v>1.1429</v>
      </c>
      <c r="O76">
        <v>1.05</v>
      </c>
      <c r="P76">
        <v>3.14</v>
      </c>
      <c r="Q76" t="s">
        <v>3</v>
      </c>
      <c r="R76" s="9" t="s">
        <v>3</v>
      </c>
      <c r="S76" s="3" t="s">
        <v>3</v>
      </c>
      <c r="T76" s="3">
        <v>0</v>
      </c>
      <c r="U76" s="3" t="s">
        <v>3</v>
      </c>
      <c r="V76" s="3">
        <v>0</v>
      </c>
      <c r="W76" s="3" t="s">
        <v>3</v>
      </c>
      <c r="X76" s="10">
        <v>2.62</v>
      </c>
      <c r="Y76" s="6">
        <v>-0.14019999999999999</v>
      </c>
      <c r="Z76" s="10">
        <v>2.12</v>
      </c>
      <c r="AA76" s="6">
        <v>5.9499999999999997E-2</v>
      </c>
      <c r="AB76" s="102">
        <v>119139</v>
      </c>
      <c r="AC76">
        <v>2.25</v>
      </c>
      <c r="AD76" s="10">
        <v>2000</v>
      </c>
      <c r="AE76">
        <v>39510</v>
      </c>
      <c r="AF76" s="10">
        <v>2.27</v>
      </c>
    </row>
    <row r="77" spans="1:32" ht="16" customHeight="1" x14ac:dyDescent="0.25">
      <c r="A77" s="105" t="s">
        <v>1165</v>
      </c>
      <c r="C77" s="3" t="s">
        <v>639</v>
      </c>
      <c r="D77" s="101">
        <v>42678</v>
      </c>
      <c r="E77" s="3" t="s">
        <v>640</v>
      </c>
      <c r="F77" s="3">
        <v>1.5649999999999999</v>
      </c>
      <c r="G77" s="3">
        <v>82510000</v>
      </c>
      <c r="H77" s="3">
        <v>1.58</v>
      </c>
      <c r="I77" s="2">
        <v>1.58</v>
      </c>
      <c r="J77" s="4">
        <v>1.5649999999999999</v>
      </c>
      <c r="K77" s="1">
        <v>2.5000000000000001E-2</v>
      </c>
      <c r="L77" s="6">
        <v>1.6230000000000001E-2</v>
      </c>
      <c r="M77" s="6">
        <v>-0.37896999999999997</v>
      </c>
      <c r="N77" s="6">
        <v>0.17669000000000001</v>
      </c>
      <c r="O77">
        <v>1.33</v>
      </c>
      <c r="P77">
        <v>2.52</v>
      </c>
      <c r="Q77" t="s">
        <v>641</v>
      </c>
      <c r="R77" s="9">
        <v>14.763999999999999</v>
      </c>
      <c r="S77" s="3" t="s">
        <v>3</v>
      </c>
      <c r="T77" s="3">
        <v>2.63</v>
      </c>
      <c r="U77" s="3">
        <v>0.106</v>
      </c>
      <c r="V77" s="3" t="s">
        <v>642</v>
      </c>
      <c r="W77" s="3" t="s">
        <v>3</v>
      </c>
      <c r="X77" s="10">
        <v>1.5980000000000001</v>
      </c>
      <c r="Y77" s="6">
        <v>-2.0389999999999998E-2</v>
      </c>
      <c r="Z77" s="10">
        <v>1.5569999999999999</v>
      </c>
      <c r="AA77" s="6">
        <v>5.2199999999999998E-3</v>
      </c>
      <c r="AB77" s="102">
        <v>479304</v>
      </c>
      <c r="AC77">
        <v>1.5649999999999999</v>
      </c>
      <c r="AD77" s="10">
        <v>349</v>
      </c>
      <c r="AE77">
        <v>2969</v>
      </c>
      <c r="AF77" s="10">
        <v>1.54</v>
      </c>
    </row>
    <row r="78" spans="1:32" ht="16" customHeight="1" x14ac:dyDescent="0.25">
      <c r="A78" s="105" t="s">
        <v>1166</v>
      </c>
      <c r="C78" s="3" t="s">
        <v>643</v>
      </c>
      <c r="D78" s="101">
        <v>42678</v>
      </c>
      <c r="E78" s="3" t="s">
        <v>603</v>
      </c>
      <c r="F78" s="3">
        <v>0.44</v>
      </c>
      <c r="G78" s="3">
        <v>50225000</v>
      </c>
      <c r="H78" s="3">
        <v>0.44</v>
      </c>
      <c r="I78" s="2">
        <v>0.44</v>
      </c>
      <c r="J78" s="4">
        <v>0.44</v>
      </c>
      <c r="K78" s="1">
        <v>0</v>
      </c>
      <c r="L78" s="6">
        <v>0</v>
      </c>
      <c r="M78" s="6">
        <v>-0.2281</v>
      </c>
      <c r="N78" s="6">
        <v>0.1</v>
      </c>
      <c r="O78">
        <v>0.4</v>
      </c>
      <c r="P78">
        <v>0.56999999999999995</v>
      </c>
      <c r="Q78" t="s">
        <v>644</v>
      </c>
      <c r="R78" s="9">
        <v>8.98</v>
      </c>
      <c r="S78" s="3" t="s">
        <v>3</v>
      </c>
      <c r="T78" s="3">
        <v>0</v>
      </c>
      <c r="U78" s="3">
        <v>0.05</v>
      </c>
      <c r="V78" s="3">
        <v>0</v>
      </c>
      <c r="W78" s="3" t="s">
        <v>3</v>
      </c>
      <c r="X78" s="10">
        <v>0.47</v>
      </c>
      <c r="Y78" s="6">
        <v>-5.8099999999999999E-2</v>
      </c>
      <c r="Z78" s="10">
        <v>0.46</v>
      </c>
      <c r="AA78" s="6">
        <v>-5.0900000000000001E-2</v>
      </c>
      <c r="AB78" s="102">
        <v>7816</v>
      </c>
      <c r="AC78">
        <v>0.44</v>
      </c>
      <c r="AD78" s="10">
        <v>1500</v>
      </c>
      <c r="AE78">
        <v>6000</v>
      </c>
      <c r="AF78" s="10">
        <v>0.44</v>
      </c>
    </row>
    <row r="79" spans="1:32" ht="16" customHeight="1" x14ac:dyDescent="0.25">
      <c r="A79" s="105" t="s">
        <v>1167</v>
      </c>
      <c r="C79" s="3" t="s">
        <v>645</v>
      </c>
      <c r="D79" s="101">
        <v>42678</v>
      </c>
      <c r="E79" s="3" t="s">
        <v>498</v>
      </c>
      <c r="F79" s="3">
        <v>1.34</v>
      </c>
      <c r="G79" s="3">
        <v>68469000</v>
      </c>
      <c r="H79" s="3">
        <v>1.35</v>
      </c>
      <c r="I79" s="2">
        <v>1.35</v>
      </c>
      <c r="J79" s="4">
        <v>1.34</v>
      </c>
      <c r="K79" s="1">
        <v>-0.01</v>
      </c>
      <c r="L79" s="6">
        <v>-7.4000000000000003E-3</v>
      </c>
      <c r="M79" s="6">
        <v>-0.11260000000000001</v>
      </c>
      <c r="N79" s="6">
        <v>0.41049999999999998</v>
      </c>
      <c r="O79">
        <v>0.95</v>
      </c>
      <c r="P79">
        <v>1.51</v>
      </c>
      <c r="Q79" t="s">
        <v>646</v>
      </c>
      <c r="R79" s="9" t="s">
        <v>3</v>
      </c>
      <c r="S79" s="3" t="s">
        <v>3</v>
      </c>
      <c r="T79" s="3">
        <v>0</v>
      </c>
      <c r="U79" s="3">
        <v>-0.17</v>
      </c>
      <c r="V79" s="3" t="s">
        <v>647</v>
      </c>
      <c r="W79" s="3" t="s">
        <v>3</v>
      </c>
      <c r="X79" s="10">
        <v>1.4</v>
      </c>
      <c r="Y79" s="6">
        <v>-4.3799999999999999E-2</v>
      </c>
      <c r="Z79" s="10">
        <v>1.26</v>
      </c>
      <c r="AA79" s="6">
        <v>6.2799999999999995E-2</v>
      </c>
      <c r="AB79" s="102">
        <v>251013</v>
      </c>
      <c r="AC79">
        <v>1.34</v>
      </c>
      <c r="AD79" s="10">
        <v>198</v>
      </c>
      <c r="AE79">
        <v>8985</v>
      </c>
      <c r="AF79" s="10">
        <v>1.35</v>
      </c>
    </row>
    <row r="80" spans="1:32" ht="16" customHeight="1" x14ac:dyDescent="0.25">
      <c r="A80" s="105" t="s">
        <v>1168</v>
      </c>
      <c r="C80" s="3" t="s">
        <v>648</v>
      </c>
      <c r="D80" s="101">
        <v>42678</v>
      </c>
      <c r="E80" s="3" t="s">
        <v>649</v>
      </c>
      <c r="F80" s="3">
        <v>1.81</v>
      </c>
      <c r="G80" s="3" t="s">
        <v>3</v>
      </c>
      <c r="H80" s="3">
        <v>1.81</v>
      </c>
      <c r="I80" s="2">
        <v>1.81</v>
      </c>
      <c r="J80" s="4">
        <v>1.81</v>
      </c>
      <c r="K80" s="1">
        <v>-0.01</v>
      </c>
      <c r="L80" s="6">
        <v>-5.4999999999999997E-3</v>
      </c>
      <c r="M80" s="6">
        <v>-0.1084</v>
      </c>
      <c r="N80" s="6">
        <v>8.3799999999999999E-2</v>
      </c>
      <c r="O80">
        <v>1.67</v>
      </c>
      <c r="P80">
        <v>2.0299999999999998</v>
      </c>
      <c r="Q80" t="s">
        <v>650</v>
      </c>
      <c r="R80" s="9" t="s">
        <v>3</v>
      </c>
      <c r="S80" s="3" t="s">
        <v>3</v>
      </c>
      <c r="T80" s="3">
        <v>0</v>
      </c>
      <c r="U80" s="3" t="s">
        <v>3</v>
      </c>
      <c r="V80" s="3">
        <v>0</v>
      </c>
      <c r="W80" s="3" t="s">
        <v>3</v>
      </c>
      <c r="X80" s="10">
        <v>1.8</v>
      </c>
      <c r="Y80" s="6">
        <v>3.5999999999999999E-3</v>
      </c>
      <c r="Z80" s="10">
        <v>1.76</v>
      </c>
      <c r="AA80" s="6">
        <v>2.6800000000000001E-2</v>
      </c>
      <c r="AB80" s="102">
        <v>2086</v>
      </c>
      <c r="AC80">
        <v>1.81</v>
      </c>
      <c r="AD80" s="10">
        <v>8287</v>
      </c>
      <c r="AE80">
        <v>8287</v>
      </c>
      <c r="AF80" s="10">
        <v>1.82</v>
      </c>
    </row>
    <row r="81" spans="1:32" ht="16" customHeight="1" x14ac:dyDescent="0.25">
      <c r="A81" s="105" t="s">
        <v>1169</v>
      </c>
      <c r="C81" s="3" t="s">
        <v>651</v>
      </c>
      <c r="D81" s="101">
        <v>42678</v>
      </c>
      <c r="E81" s="3" t="s">
        <v>638</v>
      </c>
      <c r="F81" s="3">
        <v>1.2549999999999999</v>
      </c>
      <c r="G81" s="3">
        <v>112180000</v>
      </c>
      <c r="H81" s="3">
        <v>1.26</v>
      </c>
      <c r="I81" s="2">
        <v>1.2649999999999999</v>
      </c>
      <c r="J81" s="4">
        <v>1.25</v>
      </c>
      <c r="K81" s="1">
        <v>-0.01</v>
      </c>
      <c r="L81" s="6">
        <v>-7.9100000000000004E-3</v>
      </c>
      <c r="M81" s="6">
        <v>-0.40801999999999999</v>
      </c>
      <c r="N81" s="6">
        <v>0.34945999999999999</v>
      </c>
      <c r="O81">
        <v>0.93</v>
      </c>
      <c r="P81">
        <v>2.12</v>
      </c>
      <c r="Q81" t="s">
        <v>652</v>
      </c>
      <c r="R81" s="9">
        <v>9.0289999999999999</v>
      </c>
      <c r="S81" s="3" t="s">
        <v>3</v>
      </c>
      <c r="T81" s="3">
        <v>4.87</v>
      </c>
      <c r="U81" s="3">
        <v>0.13900000000000001</v>
      </c>
      <c r="V81" s="3" t="s">
        <v>653</v>
      </c>
      <c r="W81" s="3" t="s">
        <v>3</v>
      </c>
      <c r="X81" s="10">
        <v>1.2589999999999999</v>
      </c>
      <c r="Y81" s="6">
        <v>-2.8999999999999998E-3</v>
      </c>
      <c r="Z81" s="10">
        <v>1.22</v>
      </c>
      <c r="AA81" s="6">
        <v>2.8549999999999999E-2</v>
      </c>
      <c r="AB81" s="102">
        <v>338387</v>
      </c>
      <c r="AC81">
        <v>1.2549999999999999</v>
      </c>
      <c r="AD81" s="10">
        <v>13</v>
      </c>
      <c r="AE81">
        <v>84539</v>
      </c>
      <c r="AF81" s="10">
        <v>1.2649999999999999</v>
      </c>
    </row>
    <row r="82" spans="1:32" ht="16" customHeight="1" x14ac:dyDescent="0.25">
      <c r="A82" s="105" t="s">
        <v>1170</v>
      </c>
      <c r="C82" s="3" t="s">
        <v>654</v>
      </c>
      <c r="D82" s="101">
        <v>42678</v>
      </c>
      <c r="E82" s="3" t="s">
        <v>411</v>
      </c>
      <c r="F82" s="3">
        <v>0.995</v>
      </c>
      <c r="G82" s="3">
        <v>85409000</v>
      </c>
      <c r="H82" s="3">
        <v>0.995</v>
      </c>
      <c r="I82" s="2">
        <v>1</v>
      </c>
      <c r="J82" s="4">
        <v>0.98</v>
      </c>
      <c r="K82" s="1">
        <v>-1.4999999999999999E-2</v>
      </c>
      <c r="L82" s="6">
        <v>-1.485E-2</v>
      </c>
      <c r="M82" s="6">
        <v>-0.24046000000000001</v>
      </c>
      <c r="N82" s="6">
        <v>0.51907999999999999</v>
      </c>
      <c r="O82">
        <v>0.65500000000000003</v>
      </c>
      <c r="P82">
        <v>1.31</v>
      </c>
      <c r="Q82" t="s">
        <v>655</v>
      </c>
      <c r="R82" s="9" t="s">
        <v>3</v>
      </c>
      <c r="S82" s="3" t="s">
        <v>3</v>
      </c>
      <c r="T82" s="3">
        <v>-0.69</v>
      </c>
      <c r="U82" s="3">
        <v>-0.34499999999999997</v>
      </c>
      <c r="V82" s="3" t="s">
        <v>656</v>
      </c>
      <c r="W82" s="3" t="s">
        <v>3</v>
      </c>
      <c r="X82" s="10">
        <v>1.0620000000000001</v>
      </c>
      <c r="Y82" s="6">
        <v>-6.3350000000000004E-2</v>
      </c>
      <c r="Z82" s="10">
        <v>0.878</v>
      </c>
      <c r="AA82" s="6">
        <v>0.1331</v>
      </c>
      <c r="AB82" s="102">
        <v>451078</v>
      </c>
      <c r="AC82">
        <v>0.995</v>
      </c>
      <c r="AD82" s="10">
        <v>59</v>
      </c>
      <c r="AE82">
        <v>49901</v>
      </c>
      <c r="AF82" s="10">
        <v>1.01</v>
      </c>
    </row>
    <row r="83" spans="1:32" ht="16" customHeight="1" x14ac:dyDescent="0.25">
      <c r="A83" s="105" t="s">
        <v>1171</v>
      </c>
      <c r="C83" s="3" t="s">
        <v>657</v>
      </c>
      <c r="D83" s="101">
        <v>42678</v>
      </c>
      <c r="E83" s="3" t="s">
        <v>658</v>
      </c>
      <c r="F83" s="3">
        <v>0.35499999999999998</v>
      </c>
      <c r="G83" s="3">
        <v>384500000</v>
      </c>
      <c r="H83" s="3">
        <v>0.35</v>
      </c>
      <c r="I83" s="2">
        <v>0.37</v>
      </c>
      <c r="J83" s="4">
        <v>0.35</v>
      </c>
      <c r="K83" s="1">
        <v>0</v>
      </c>
      <c r="L83" s="6">
        <v>0</v>
      </c>
      <c r="M83" s="6">
        <v>-0.34861999999999999</v>
      </c>
      <c r="N83" s="6">
        <v>0.54347999999999996</v>
      </c>
      <c r="O83" s="6">
        <v>0.23</v>
      </c>
      <c r="P83">
        <v>0.54500000000000004</v>
      </c>
      <c r="Q83" t="s">
        <v>659</v>
      </c>
      <c r="R83" s="9" t="s">
        <v>3</v>
      </c>
      <c r="S83" s="3" t="s">
        <v>3</v>
      </c>
      <c r="T83" s="3">
        <v>0</v>
      </c>
      <c r="U83" s="3">
        <v>-3.5999999999999997E-2</v>
      </c>
      <c r="V83" s="3" t="s">
        <v>660</v>
      </c>
      <c r="W83" s="3" t="s">
        <v>3</v>
      </c>
      <c r="X83" s="10">
        <v>0.39500000000000002</v>
      </c>
      <c r="Y83" s="6">
        <v>-0.10095999999999999</v>
      </c>
      <c r="Z83" s="10">
        <v>0.32100000000000001</v>
      </c>
      <c r="AA83" s="6">
        <v>0.10577</v>
      </c>
      <c r="AB83" s="102">
        <v>1070400</v>
      </c>
      <c r="AC83">
        <v>0.35499999999999998</v>
      </c>
      <c r="AD83" s="10">
        <v>235</v>
      </c>
      <c r="AE83">
        <v>149838</v>
      </c>
      <c r="AF83" s="10">
        <v>0.35499999999999998</v>
      </c>
    </row>
    <row r="84" spans="1:32" ht="16" customHeight="1" x14ac:dyDescent="0.25">
      <c r="A84" s="105" t="s">
        <v>1172</v>
      </c>
      <c r="C84" s="3" t="s">
        <v>661</v>
      </c>
      <c r="D84" s="101">
        <v>42678</v>
      </c>
      <c r="E84" s="3" t="s">
        <v>407</v>
      </c>
      <c r="F84" s="3">
        <v>0.37</v>
      </c>
      <c r="G84" s="3">
        <v>322784000</v>
      </c>
      <c r="H84" s="3">
        <v>0.38</v>
      </c>
      <c r="I84" s="2">
        <v>0.38</v>
      </c>
      <c r="J84" s="4">
        <v>0.37</v>
      </c>
      <c r="K84" s="1">
        <v>0</v>
      </c>
      <c r="L84" s="6">
        <v>-1.3299999999999999E-2</v>
      </c>
      <c r="M84" s="6">
        <v>-0.50570000000000004</v>
      </c>
      <c r="N84" s="6">
        <v>1.0032000000000001</v>
      </c>
      <c r="O84">
        <v>0.18</v>
      </c>
      <c r="P84">
        <v>0.75</v>
      </c>
      <c r="Q84" t="s">
        <v>662</v>
      </c>
      <c r="R84" s="9" t="s">
        <v>3</v>
      </c>
      <c r="S84" s="3" t="s">
        <v>3</v>
      </c>
      <c r="T84" s="3">
        <v>0</v>
      </c>
      <c r="U84" s="3">
        <v>-0.3</v>
      </c>
      <c r="V84" s="3" t="s">
        <v>663</v>
      </c>
      <c r="W84" s="3" t="s">
        <v>3</v>
      </c>
      <c r="X84" s="10">
        <v>0.37</v>
      </c>
      <c r="Y84" s="6">
        <v>-7.6E-3</v>
      </c>
      <c r="Z84" s="10">
        <v>0.5</v>
      </c>
      <c r="AA84" s="6">
        <v>-0.26390000000000002</v>
      </c>
      <c r="AB84" s="102">
        <v>1453790</v>
      </c>
      <c r="AC84">
        <v>0.37</v>
      </c>
      <c r="AD84" s="10">
        <v>1950</v>
      </c>
      <c r="AE84">
        <v>164362</v>
      </c>
      <c r="AF84" s="10">
        <v>0.38</v>
      </c>
    </row>
    <row r="85" spans="1:32" ht="16" customHeight="1" x14ac:dyDescent="0.25">
      <c r="A85" s="105" t="s">
        <v>1173</v>
      </c>
      <c r="C85" s="3" t="s">
        <v>664</v>
      </c>
      <c r="D85" s="101">
        <v>42678</v>
      </c>
      <c r="E85" s="3" t="s">
        <v>665</v>
      </c>
      <c r="F85" s="3">
        <v>0.64500000000000002</v>
      </c>
      <c r="G85" s="3">
        <v>152901000</v>
      </c>
      <c r="H85" s="3">
        <v>0.64500000000000002</v>
      </c>
      <c r="I85" s="2">
        <v>0.64500000000000002</v>
      </c>
      <c r="J85" s="4">
        <v>0.64</v>
      </c>
      <c r="K85" s="1">
        <v>0</v>
      </c>
      <c r="L85" s="6">
        <v>0</v>
      </c>
      <c r="M85" s="6">
        <v>-0.28333000000000003</v>
      </c>
      <c r="N85" s="6">
        <v>0.28999999999999998</v>
      </c>
      <c r="O85">
        <v>0.5</v>
      </c>
      <c r="P85">
        <v>0.9</v>
      </c>
      <c r="Q85" t="s">
        <v>666</v>
      </c>
      <c r="R85" s="9" t="s">
        <v>3</v>
      </c>
      <c r="S85" s="3" t="s">
        <v>3</v>
      </c>
      <c r="T85" s="3">
        <v>0</v>
      </c>
      <c r="U85" s="3">
        <v>-2.1999999999999999E-2</v>
      </c>
      <c r="V85" s="3" t="s">
        <v>667</v>
      </c>
      <c r="W85" s="3" t="s">
        <v>3</v>
      </c>
      <c r="X85" s="10">
        <v>0.65500000000000003</v>
      </c>
      <c r="Y85" s="6">
        <v>-1.486E-2</v>
      </c>
      <c r="Z85" s="10">
        <v>0.66600000000000004</v>
      </c>
      <c r="AA85" s="6">
        <v>-3.0929999999999999E-2</v>
      </c>
      <c r="AB85" s="102">
        <v>224570</v>
      </c>
      <c r="AC85">
        <v>0.64500000000000002</v>
      </c>
      <c r="AD85" s="10">
        <v>222</v>
      </c>
      <c r="AE85">
        <v>51294</v>
      </c>
      <c r="AF85" s="10">
        <v>0.64500000000000002</v>
      </c>
    </row>
    <row r="86" spans="1:32" ht="16" customHeight="1" x14ac:dyDescent="0.25">
      <c r="A86" s="105" t="s">
        <v>1174</v>
      </c>
      <c r="C86" s="3" t="s">
        <v>668</v>
      </c>
      <c r="D86" s="101">
        <v>42677</v>
      </c>
      <c r="E86" s="3" t="s">
        <v>411</v>
      </c>
      <c r="F86" s="3">
        <v>1.4</v>
      </c>
      <c r="G86" s="3">
        <v>25445000</v>
      </c>
      <c r="H86" s="3">
        <v>1.47</v>
      </c>
      <c r="I86" s="2">
        <v>1.47</v>
      </c>
      <c r="J86" s="4">
        <v>1.4</v>
      </c>
      <c r="K86" s="1">
        <v>0</v>
      </c>
      <c r="L86" s="6">
        <v>0</v>
      </c>
      <c r="M86" s="6">
        <v>-0.20899999999999999</v>
      </c>
      <c r="N86" s="6">
        <v>0.45829999999999999</v>
      </c>
      <c r="O86">
        <v>0.96</v>
      </c>
      <c r="P86">
        <v>1.77</v>
      </c>
      <c r="Q86" t="s">
        <v>669</v>
      </c>
      <c r="R86" s="9" t="s">
        <v>3</v>
      </c>
      <c r="S86" s="3" t="s">
        <v>3</v>
      </c>
      <c r="T86" s="3">
        <v>0.54</v>
      </c>
      <c r="U86" s="3">
        <v>-0.87</v>
      </c>
      <c r="V86" s="3" t="s">
        <v>670</v>
      </c>
      <c r="W86" s="3" t="s">
        <v>3</v>
      </c>
      <c r="X86" s="10">
        <v>1.38</v>
      </c>
      <c r="Y86" s="6">
        <v>1.1599999999999999E-2</v>
      </c>
      <c r="Z86" s="10">
        <v>1.39</v>
      </c>
      <c r="AA86" s="6">
        <v>4.3E-3</v>
      </c>
      <c r="AB86" s="102">
        <v>24897</v>
      </c>
      <c r="AC86">
        <v>1.4</v>
      </c>
      <c r="AD86" s="10">
        <v>94</v>
      </c>
      <c r="AE86">
        <v>2200</v>
      </c>
      <c r="AF86" s="10">
        <v>1.4</v>
      </c>
    </row>
    <row r="87" spans="1:32" ht="16" customHeight="1" x14ac:dyDescent="0.25">
      <c r="A87" s="105" t="s">
        <v>1175</v>
      </c>
      <c r="C87" s="3" t="s">
        <v>671</v>
      </c>
      <c r="D87" s="101">
        <v>42642</v>
      </c>
      <c r="E87" s="3" t="s">
        <v>672</v>
      </c>
      <c r="F87" s="3">
        <v>0.43</v>
      </c>
      <c r="G87" s="3">
        <v>159957000</v>
      </c>
      <c r="H87" s="3">
        <v>0.44</v>
      </c>
      <c r="I87" s="2">
        <v>0.44</v>
      </c>
      <c r="J87" s="4">
        <v>0.43</v>
      </c>
      <c r="K87" s="1">
        <v>0</v>
      </c>
      <c r="L87" s="6">
        <v>0</v>
      </c>
      <c r="M87" s="6">
        <v>-0.42670000000000002</v>
      </c>
      <c r="N87" s="6">
        <v>2.3800000000000002E-2</v>
      </c>
      <c r="O87">
        <v>0.42</v>
      </c>
      <c r="P87">
        <v>0.75</v>
      </c>
      <c r="Q87" t="s">
        <v>673</v>
      </c>
      <c r="R87" s="9" t="s">
        <v>3</v>
      </c>
      <c r="S87" s="3" t="s">
        <v>3</v>
      </c>
      <c r="T87" s="3">
        <v>0</v>
      </c>
      <c r="U87" s="3">
        <v>-0.54</v>
      </c>
      <c r="V87" s="3" t="s">
        <v>674</v>
      </c>
      <c r="W87" s="3" t="s">
        <v>3</v>
      </c>
      <c r="X87" s="10">
        <v>0.44</v>
      </c>
      <c r="Y87" s="6">
        <v>-2.93E-2</v>
      </c>
      <c r="Z87" s="10">
        <v>0.55000000000000004</v>
      </c>
      <c r="AA87" s="6">
        <v>-0.22020000000000001</v>
      </c>
      <c r="AB87" s="102">
        <v>130497</v>
      </c>
      <c r="AC87">
        <v>0.43</v>
      </c>
      <c r="AD87" s="10">
        <v>376</v>
      </c>
      <c r="AE87">
        <v>169201</v>
      </c>
      <c r="AF87" s="10">
        <v>0.43</v>
      </c>
    </row>
    <row r="88" spans="1:32" ht="16" customHeight="1" x14ac:dyDescent="0.25">
      <c r="A88" s="105" t="s">
        <v>1176</v>
      </c>
      <c r="C88" s="3" t="s">
        <v>675</v>
      </c>
      <c r="D88" s="101">
        <v>42678</v>
      </c>
      <c r="E88" s="3" t="s">
        <v>593</v>
      </c>
      <c r="F88" s="3">
        <v>1.49</v>
      </c>
      <c r="G88" s="3">
        <v>102412000</v>
      </c>
      <c r="H88" s="3">
        <v>1.49</v>
      </c>
      <c r="I88" s="2">
        <v>1.49</v>
      </c>
      <c r="J88" s="4">
        <v>1.47</v>
      </c>
      <c r="K88" s="1">
        <v>0.02</v>
      </c>
      <c r="L88" s="6">
        <v>1.7100000000000001E-2</v>
      </c>
      <c r="M88" s="6">
        <v>-0.10780000000000001</v>
      </c>
      <c r="N88" s="6">
        <v>0.1968</v>
      </c>
      <c r="O88">
        <v>1.25</v>
      </c>
      <c r="P88">
        <v>1.67</v>
      </c>
      <c r="Q88" t="s">
        <v>676</v>
      </c>
      <c r="R88" s="9">
        <v>5.42</v>
      </c>
      <c r="S88" s="3" t="s">
        <v>3</v>
      </c>
      <c r="T88" s="3">
        <v>8.65</v>
      </c>
      <c r="U88" s="3">
        <v>0.28000000000000003</v>
      </c>
      <c r="V88" s="3">
        <v>0</v>
      </c>
      <c r="W88" s="3" t="s">
        <v>3</v>
      </c>
      <c r="X88" s="10">
        <v>1.54</v>
      </c>
      <c r="Y88" s="6">
        <v>-3.2300000000000002E-2</v>
      </c>
      <c r="Z88" s="10">
        <v>1.52</v>
      </c>
      <c r="AA88" s="6">
        <v>-1.66E-2</v>
      </c>
      <c r="AB88" s="102">
        <v>79847</v>
      </c>
      <c r="AC88">
        <v>1.49</v>
      </c>
      <c r="AD88" s="10">
        <v>138</v>
      </c>
      <c r="AE88">
        <v>62483</v>
      </c>
      <c r="AF88" s="10">
        <v>1.47</v>
      </c>
    </row>
    <row r="89" spans="1:32" ht="16" customHeight="1" x14ac:dyDescent="0.25">
      <c r="A89" s="105" t="s">
        <v>1177</v>
      </c>
      <c r="C89" s="3" t="s">
        <v>677</v>
      </c>
      <c r="D89" s="101">
        <v>42677</v>
      </c>
      <c r="E89" s="3" t="s">
        <v>26</v>
      </c>
      <c r="F89" s="3">
        <v>1.27</v>
      </c>
      <c r="G89" s="3" t="s">
        <v>3</v>
      </c>
      <c r="H89" s="3">
        <v>1.27</v>
      </c>
      <c r="I89" s="2">
        <v>1.27</v>
      </c>
      <c r="J89" s="4">
        <v>1.27</v>
      </c>
      <c r="K89" s="1">
        <v>0</v>
      </c>
      <c r="L89" s="6">
        <v>0</v>
      </c>
      <c r="M89" s="6">
        <v>-8.6300000000000002E-2</v>
      </c>
      <c r="N89" s="6">
        <v>8.5500000000000007E-2</v>
      </c>
      <c r="O89">
        <v>1.17</v>
      </c>
      <c r="P89">
        <v>1.39</v>
      </c>
      <c r="Q89" t="s">
        <v>3</v>
      </c>
      <c r="R89" s="9" t="s">
        <v>3</v>
      </c>
      <c r="S89" s="3" t="s">
        <v>3</v>
      </c>
      <c r="T89" s="3">
        <v>0</v>
      </c>
      <c r="U89" s="3" t="s">
        <v>3</v>
      </c>
      <c r="V89" s="3">
        <v>0</v>
      </c>
      <c r="W89" s="3" t="s">
        <v>3</v>
      </c>
      <c r="X89" s="10">
        <v>1.29</v>
      </c>
      <c r="Y89" s="6">
        <v>-1.21E-2</v>
      </c>
      <c r="Z89" s="10">
        <v>1.24</v>
      </c>
      <c r="AA89" s="6">
        <v>2.41E-2</v>
      </c>
      <c r="AB89" s="102">
        <v>4979</v>
      </c>
      <c r="AC89">
        <v>1.27</v>
      </c>
      <c r="AD89" s="10">
        <v>34745</v>
      </c>
      <c r="AE89">
        <v>42619</v>
      </c>
      <c r="AF89" s="10">
        <v>1.27</v>
      </c>
    </row>
    <row r="90" spans="1:32" ht="16" customHeight="1" x14ac:dyDescent="0.25">
      <c r="A90" s="105" t="s">
        <v>1178</v>
      </c>
      <c r="C90" s="3" t="s">
        <v>678</v>
      </c>
      <c r="D90" s="101">
        <v>42678</v>
      </c>
      <c r="E90" s="3" t="s">
        <v>504</v>
      </c>
      <c r="F90" s="3">
        <v>0.89500000000000002</v>
      </c>
      <c r="G90" s="3">
        <v>122048000</v>
      </c>
      <c r="H90" s="3">
        <v>0.9</v>
      </c>
      <c r="I90" s="2">
        <v>0.9</v>
      </c>
      <c r="J90" s="4">
        <v>0.89</v>
      </c>
      <c r="K90" s="1">
        <v>-5.0000000000000001E-3</v>
      </c>
      <c r="L90" s="6">
        <v>-5.5599999999999998E-3</v>
      </c>
      <c r="M90" s="6">
        <v>-0.20796000000000001</v>
      </c>
      <c r="N90" s="6">
        <v>0.19333</v>
      </c>
      <c r="O90">
        <v>0.75</v>
      </c>
      <c r="P90">
        <v>1.1299999999999999</v>
      </c>
      <c r="Q90" t="s">
        <v>679</v>
      </c>
      <c r="R90" s="9" t="s">
        <v>3</v>
      </c>
      <c r="S90" s="3" t="s">
        <v>3</v>
      </c>
      <c r="T90" s="3">
        <v>2.79</v>
      </c>
      <c r="U90" s="3">
        <v>-0.114</v>
      </c>
      <c r="V90" s="3" t="s">
        <v>680</v>
      </c>
      <c r="W90" s="3" t="s">
        <v>3</v>
      </c>
      <c r="X90" s="10">
        <v>0.875</v>
      </c>
      <c r="Y90" s="6">
        <v>2.2540000000000001E-2</v>
      </c>
      <c r="Z90" s="10">
        <v>0.84199999999999997</v>
      </c>
      <c r="AA90" s="6">
        <v>6.2780000000000002E-2</v>
      </c>
      <c r="AB90" s="102">
        <v>179348</v>
      </c>
      <c r="AC90">
        <v>0.89500000000000002</v>
      </c>
      <c r="AD90" s="10">
        <v>1953</v>
      </c>
      <c r="AE90">
        <v>34612</v>
      </c>
      <c r="AF90" s="10">
        <v>0.9</v>
      </c>
    </row>
    <row r="91" spans="1:32" ht="16" customHeight="1" x14ac:dyDescent="0.25">
      <c r="A91" s="105" t="s">
        <v>1179</v>
      </c>
      <c r="C91" s="3" t="s">
        <v>681</v>
      </c>
      <c r="D91" s="101">
        <v>42678</v>
      </c>
      <c r="E91" s="3" t="s">
        <v>427</v>
      </c>
      <c r="F91" s="3">
        <v>18</v>
      </c>
      <c r="G91" s="3">
        <v>8960000</v>
      </c>
      <c r="H91" s="3">
        <v>18.309999999999999</v>
      </c>
      <c r="I91" s="2">
        <v>18.32</v>
      </c>
      <c r="J91" s="4">
        <v>17.809999999999999</v>
      </c>
      <c r="K91" s="1">
        <v>0.3</v>
      </c>
      <c r="L91" s="6">
        <v>1.6899999999999998E-2</v>
      </c>
      <c r="M91" s="6">
        <v>-0.22389999999999999</v>
      </c>
      <c r="N91" s="6">
        <v>8.0600000000000005E-2</v>
      </c>
      <c r="O91">
        <v>16.66</v>
      </c>
      <c r="P91">
        <v>23.19</v>
      </c>
      <c r="Q91" t="s">
        <v>682</v>
      </c>
      <c r="R91" s="9">
        <v>16.329999999999998</v>
      </c>
      <c r="S91" s="3" t="s">
        <v>3</v>
      </c>
      <c r="T91" s="3">
        <v>0.94</v>
      </c>
      <c r="U91" s="3">
        <v>1.1000000000000001</v>
      </c>
      <c r="V91" s="3" t="s">
        <v>683</v>
      </c>
      <c r="W91" s="3" t="s">
        <v>3</v>
      </c>
      <c r="X91" s="10">
        <v>18.89</v>
      </c>
      <c r="Y91" s="6">
        <v>-4.7300000000000002E-2</v>
      </c>
      <c r="Z91" s="10">
        <v>20.239999999999998</v>
      </c>
      <c r="AA91" s="6">
        <v>-0.11070000000000001</v>
      </c>
      <c r="AB91" s="102">
        <v>18730</v>
      </c>
      <c r="AC91">
        <v>18</v>
      </c>
      <c r="AD91" s="10">
        <v>5</v>
      </c>
      <c r="AE91">
        <v>11027</v>
      </c>
      <c r="AF91" s="10">
        <v>17.7</v>
      </c>
    </row>
    <row r="92" spans="1:32" ht="16" customHeight="1" x14ac:dyDescent="0.25">
      <c r="A92" s="105" t="s">
        <v>1180</v>
      </c>
      <c r="C92" s="3" t="s">
        <v>684</v>
      </c>
      <c r="D92" s="101">
        <v>42678</v>
      </c>
      <c r="E92" s="3" t="s">
        <v>685</v>
      </c>
      <c r="F92" s="3">
        <v>1</v>
      </c>
      <c r="G92" s="3">
        <v>150501000</v>
      </c>
      <c r="H92" s="3">
        <v>1</v>
      </c>
      <c r="I92" s="2">
        <v>1</v>
      </c>
      <c r="J92" s="4">
        <v>1</v>
      </c>
      <c r="K92" s="1">
        <v>-0.02</v>
      </c>
      <c r="L92" s="6">
        <v>-1.9599999999999999E-2</v>
      </c>
      <c r="M92" s="6">
        <v>-0.2</v>
      </c>
      <c r="N92" s="6">
        <v>0.18340000000000001</v>
      </c>
      <c r="O92">
        <v>0.85</v>
      </c>
      <c r="P92">
        <v>1.25</v>
      </c>
      <c r="Q92" t="s">
        <v>686</v>
      </c>
      <c r="R92" s="9" t="s">
        <v>3</v>
      </c>
      <c r="S92" s="3" t="s">
        <v>3</v>
      </c>
      <c r="T92" s="3">
        <v>0.3</v>
      </c>
      <c r="U92" s="3" t="s">
        <v>3</v>
      </c>
      <c r="V92" s="3">
        <v>0</v>
      </c>
      <c r="W92" s="3" t="s">
        <v>3</v>
      </c>
      <c r="X92" s="10">
        <v>1.01</v>
      </c>
      <c r="Y92" s="6">
        <v>-5.1000000000000004E-3</v>
      </c>
      <c r="Z92" s="10">
        <v>1.02</v>
      </c>
      <c r="AA92" s="6">
        <v>-1.7100000000000001E-2</v>
      </c>
      <c r="AB92" s="102">
        <v>89656</v>
      </c>
      <c r="AC92">
        <v>1</v>
      </c>
      <c r="AD92" s="10">
        <v>1000</v>
      </c>
      <c r="AE92">
        <v>19261</v>
      </c>
      <c r="AF92" s="10">
        <v>1.02</v>
      </c>
    </row>
    <row r="93" spans="1:32" ht="16" customHeight="1" x14ac:dyDescent="0.25">
      <c r="A93" s="105" t="s">
        <v>1181</v>
      </c>
      <c r="C93" s="3" t="s">
        <v>687</v>
      </c>
      <c r="D93" s="101">
        <v>42678</v>
      </c>
      <c r="E93" s="3" t="s">
        <v>688</v>
      </c>
      <c r="F93" s="3">
        <v>1.02</v>
      </c>
      <c r="G93" s="3">
        <v>102079000</v>
      </c>
      <c r="H93" s="3">
        <v>1.02</v>
      </c>
      <c r="I93" s="2">
        <v>1.02</v>
      </c>
      <c r="J93" s="4">
        <v>1.02</v>
      </c>
      <c r="K93" s="1">
        <v>0</v>
      </c>
      <c r="L93" s="6">
        <v>0</v>
      </c>
      <c r="M93" s="6">
        <v>-7.2700000000000001E-2</v>
      </c>
      <c r="N93" s="6">
        <v>0.45710000000000001</v>
      </c>
      <c r="O93">
        <v>0.7</v>
      </c>
      <c r="P93">
        <v>1.1000000000000001</v>
      </c>
      <c r="Q93" t="s">
        <v>689</v>
      </c>
      <c r="R93" s="9">
        <v>46.36</v>
      </c>
      <c r="S93" s="3" t="s">
        <v>3</v>
      </c>
      <c r="T93" s="3">
        <v>0</v>
      </c>
      <c r="U93" s="3">
        <v>0.02</v>
      </c>
      <c r="V93" s="3">
        <v>0</v>
      </c>
      <c r="W93" s="3" t="s">
        <v>3</v>
      </c>
      <c r="X93" s="10">
        <v>0.99</v>
      </c>
      <c r="Y93" s="6">
        <v>3.0700000000000002E-2</v>
      </c>
      <c r="Z93" s="10">
        <v>0.86</v>
      </c>
      <c r="AA93" s="6">
        <v>0.1817</v>
      </c>
      <c r="AB93" s="102">
        <v>71880</v>
      </c>
      <c r="AC93">
        <v>1.02</v>
      </c>
      <c r="AD93" s="10">
        <v>35372</v>
      </c>
      <c r="AE93">
        <v>86292</v>
      </c>
      <c r="AF93" s="10">
        <v>1.02</v>
      </c>
    </row>
    <row r="94" spans="1:32" ht="16" customHeight="1" x14ac:dyDescent="0.25">
      <c r="A94" s="105" t="s">
        <v>1182</v>
      </c>
      <c r="C94" s="3" t="s">
        <v>690</v>
      </c>
      <c r="D94" s="101">
        <v>42678</v>
      </c>
      <c r="E94" s="3" t="s">
        <v>691</v>
      </c>
      <c r="F94" s="3">
        <v>0.29499999999999998</v>
      </c>
      <c r="G94" s="3">
        <v>465801000</v>
      </c>
      <c r="H94" s="3">
        <v>0.29499999999999998</v>
      </c>
      <c r="I94" s="2">
        <v>0.29499999999999998</v>
      </c>
      <c r="J94" s="4">
        <v>0.28000000000000003</v>
      </c>
      <c r="K94" s="1">
        <v>5.0000000000000001E-3</v>
      </c>
      <c r="L94" s="6">
        <v>1.7239999999999998E-2</v>
      </c>
      <c r="M94" s="6">
        <v>-0.15714</v>
      </c>
      <c r="N94" s="6">
        <v>1.36</v>
      </c>
      <c r="O94">
        <v>0.125</v>
      </c>
      <c r="P94">
        <v>0.35</v>
      </c>
      <c r="Q94" t="s">
        <v>692</v>
      </c>
      <c r="R94" s="9" t="s">
        <v>3</v>
      </c>
      <c r="S94" s="3" t="s">
        <v>3</v>
      </c>
      <c r="T94" s="3">
        <v>0</v>
      </c>
      <c r="U94" s="3">
        <v>-6.0000000000000001E-3</v>
      </c>
      <c r="V94" s="3" t="s">
        <v>693</v>
      </c>
      <c r="W94" s="3" t="s">
        <v>3</v>
      </c>
      <c r="X94" s="10">
        <v>0.29599999999999999</v>
      </c>
      <c r="Y94" s="6">
        <v>-3.65E-3</v>
      </c>
      <c r="Z94" s="10">
        <v>0.27700000000000002</v>
      </c>
      <c r="AA94" s="6">
        <v>6.4449999999999993E-2</v>
      </c>
      <c r="AB94" s="102">
        <v>596598</v>
      </c>
      <c r="AC94">
        <v>0.29499999999999998</v>
      </c>
      <c r="AD94" s="10">
        <v>7726</v>
      </c>
      <c r="AE94">
        <v>917033</v>
      </c>
      <c r="AF94" s="10">
        <v>0.28999999999999998</v>
      </c>
    </row>
    <row r="95" spans="1:32" ht="16" customHeight="1" x14ac:dyDescent="0.25">
      <c r="A95" s="105" t="s">
        <v>1183</v>
      </c>
      <c r="C95" s="3" t="s">
        <v>694</v>
      </c>
      <c r="D95" s="101">
        <v>42678</v>
      </c>
      <c r="E95" s="3" t="s">
        <v>619</v>
      </c>
      <c r="F95" s="3">
        <v>0.70499999999999996</v>
      </c>
      <c r="G95" s="3">
        <v>164978000</v>
      </c>
      <c r="H95" s="3">
        <v>0.7</v>
      </c>
      <c r="I95" s="2">
        <v>0.70499999999999996</v>
      </c>
      <c r="J95" s="4">
        <v>0.7</v>
      </c>
      <c r="K95" s="1">
        <v>0</v>
      </c>
      <c r="L95" s="6">
        <v>0</v>
      </c>
      <c r="M95" s="6">
        <v>-0.11874999999999999</v>
      </c>
      <c r="N95" s="6">
        <v>0.53261000000000003</v>
      </c>
      <c r="O95">
        <v>0.46</v>
      </c>
      <c r="P95">
        <v>0.8</v>
      </c>
      <c r="Q95" t="s">
        <v>695</v>
      </c>
      <c r="R95" s="9">
        <v>13.558</v>
      </c>
      <c r="S95" s="3" t="s">
        <v>3</v>
      </c>
      <c r="T95" s="3">
        <v>0.65</v>
      </c>
      <c r="U95" s="3">
        <v>5.1999999999999998E-2</v>
      </c>
      <c r="V95" s="3" t="s">
        <v>696</v>
      </c>
      <c r="W95" s="3" t="s">
        <v>3</v>
      </c>
      <c r="X95" s="10">
        <v>0.72799999999999998</v>
      </c>
      <c r="Y95" s="6">
        <v>-3.2099999999999997E-2</v>
      </c>
      <c r="Z95" s="10">
        <v>0.72899999999999998</v>
      </c>
      <c r="AA95" s="6">
        <v>-3.3439999999999998E-2</v>
      </c>
      <c r="AB95" s="102">
        <v>218274</v>
      </c>
      <c r="AC95">
        <v>0.70499999999999996</v>
      </c>
      <c r="AD95" s="10">
        <v>1</v>
      </c>
      <c r="AE95">
        <v>272904</v>
      </c>
      <c r="AF95" s="10">
        <v>0.70499999999999996</v>
      </c>
    </row>
    <row r="96" spans="1:32" ht="16" customHeight="1" x14ac:dyDescent="0.25">
      <c r="A96" s="105" t="s">
        <v>1184</v>
      </c>
      <c r="C96" s="3" t="s">
        <v>697</v>
      </c>
      <c r="D96" s="101">
        <v>42677</v>
      </c>
      <c r="E96" s="3" t="s">
        <v>698</v>
      </c>
      <c r="F96" s="3">
        <v>7.62</v>
      </c>
      <c r="G96" s="3">
        <v>5509000</v>
      </c>
      <c r="H96" s="3">
        <v>7.46</v>
      </c>
      <c r="I96" s="2">
        <v>7.62</v>
      </c>
      <c r="J96" s="4">
        <v>7.45</v>
      </c>
      <c r="K96" s="1">
        <v>0</v>
      </c>
      <c r="L96" s="6">
        <v>0</v>
      </c>
      <c r="M96" s="6">
        <v>-0.1004</v>
      </c>
      <c r="N96" s="6">
        <v>0.16339999999999999</v>
      </c>
      <c r="O96">
        <v>6.55</v>
      </c>
      <c r="P96">
        <v>8.4700000000000006</v>
      </c>
      <c r="Q96" t="s">
        <v>699</v>
      </c>
      <c r="R96" s="9">
        <v>23.66</v>
      </c>
      <c r="S96" s="3" t="s">
        <v>3</v>
      </c>
      <c r="T96" s="3">
        <v>2.5</v>
      </c>
      <c r="U96" s="3">
        <v>0.32</v>
      </c>
      <c r="V96" s="3" t="s">
        <v>700</v>
      </c>
      <c r="W96" s="3" t="s">
        <v>3</v>
      </c>
      <c r="X96" s="10">
        <v>7.48</v>
      </c>
      <c r="Y96" s="6">
        <v>1.9199999999999998E-2</v>
      </c>
      <c r="Z96" s="10">
        <v>7.17</v>
      </c>
      <c r="AA96" s="6">
        <v>6.2399999999999997E-2</v>
      </c>
      <c r="AB96" s="102">
        <v>4685</v>
      </c>
      <c r="AC96">
        <v>7.62</v>
      </c>
      <c r="AD96" s="10">
        <v>2</v>
      </c>
      <c r="AE96">
        <v>778</v>
      </c>
      <c r="AF96" s="10">
        <v>7.62</v>
      </c>
    </row>
    <row r="97" spans="1:32" ht="16" customHeight="1" x14ac:dyDescent="0.25">
      <c r="A97" s="105" t="s">
        <v>1185</v>
      </c>
      <c r="C97" s="3" t="s">
        <v>701</v>
      </c>
      <c r="D97" s="101">
        <v>42677</v>
      </c>
      <c r="E97" s="3" t="s">
        <v>702</v>
      </c>
      <c r="F97" s="3">
        <v>1.76</v>
      </c>
      <c r="G97" s="3">
        <v>13173000</v>
      </c>
      <c r="H97" s="3">
        <v>1.7</v>
      </c>
      <c r="I97" s="2">
        <v>1.76</v>
      </c>
      <c r="J97" s="4">
        <v>1.7</v>
      </c>
      <c r="K97" s="1">
        <v>0</v>
      </c>
      <c r="L97" s="6">
        <v>0</v>
      </c>
      <c r="M97" s="6">
        <v>-0.12</v>
      </c>
      <c r="N97" s="6">
        <v>0.3538</v>
      </c>
      <c r="O97">
        <v>1.3</v>
      </c>
      <c r="P97">
        <v>2</v>
      </c>
      <c r="Q97" t="s">
        <v>703</v>
      </c>
      <c r="R97" s="9">
        <v>30.88</v>
      </c>
      <c r="S97" s="3" t="s">
        <v>3</v>
      </c>
      <c r="T97" s="3">
        <v>0.56000000000000005</v>
      </c>
      <c r="U97" s="3">
        <v>0.06</v>
      </c>
      <c r="V97" s="3" t="s">
        <v>704</v>
      </c>
      <c r="W97" s="3" t="s">
        <v>3</v>
      </c>
      <c r="X97" s="10">
        <v>1.77</v>
      </c>
      <c r="Y97" s="6">
        <v>-8.0999999999999996E-3</v>
      </c>
      <c r="Z97" s="10">
        <v>1.75</v>
      </c>
      <c r="AA97" s="6">
        <v>4.4999999999999997E-3</v>
      </c>
      <c r="AB97" s="102">
        <v>23230</v>
      </c>
      <c r="AC97">
        <v>1.76</v>
      </c>
      <c r="AD97" s="10">
        <v>285</v>
      </c>
      <c r="AE97">
        <v>2985</v>
      </c>
      <c r="AF97" s="10">
        <v>1.76</v>
      </c>
    </row>
    <row r="98" spans="1:32" ht="16" customHeight="1" x14ac:dyDescent="0.25">
      <c r="A98" s="105" t="s">
        <v>1186</v>
      </c>
      <c r="C98" s="3" t="s">
        <v>705</v>
      </c>
      <c r="D98" s="101">
        <v>42678</v>
      </c>
      <c r="E98" s="3" t="s">
        <v>706</v>
      </c>
      <c r="F98" s="3">
        <v>0.09</v>
      </c>
      <c r="G98" s="3">
        <v>356756000</v>
      </c>
      <c r="H98" s="3">
        <v>0.09</v>
      </c>
      <c r="I98" s="2">
        <v>0.09</v>
      </c>
      <c r="J98" s="4">
        <v>0.09</v>
      </c>
      <c r="K98" s="1">
        <v>0</v>
      </c>
      <c r="L98" s="6">
        <v>0</v>
      </c>
      <c r="M98" s="6">
        <v>-0.51349999999999996</v>
      </c>
      <c r="N98" s="6">
        <v>0.125</v>
      </c>
      <c r="O98">
        <v>0.08</v>
      </c>
      <c r="P98">
        <v>0.19</v>
      </c>
      <c r="Q98" t="s">
        <v>707</v>
      </c>
      <c r="R98" s="9" t="s">
        <v>3</v>
      </c>
      <c r="S98" s="3" t="s">
        <v>3</v>
      </c>
      <c r="T98" s="3">
        <v>0</v>
      </c>
      <c r="U98" s="3">
        <v>0</v>
      </c>
      <c r="V98" s="3" t="s">
        <v>708</v>
      </c>
      <c r="W98" s="3" t="s">
        <v>3</v>
      </c>
      <c r="X98" s="10">
        <v>0.1</v>
      </c>
      <c r="Y98" s="6">
        <v>-0.11600000000000001</v>
      </c>
      <c r="Z98" s="10">
        <v>0.12</v>
      </c>
      <c r="AA98" s="6">
        <v>-0.25480000000000003</v>
      </c>
      <c r="AB98" s="102">
        <v>86762</v>
      </c>
      <c r="AC98">
        <v>0.09</v>
      </c>
      <c r="AD98" s="10">
        <v>32250</v>
      </c>
      <c r="AE98">
        <v>32250</v>
      </c>
      <c r="AF98" s="10">
        <v>0.09</v>
      </c>
    </row>
    <row r="99" spans="1:32" ht="16" customHeight="1" x14ac:dyDescent="0.25">
      <c r="A99" s="105" t="s">
        <v>1187</v>
      </c>
      <c r="C99" s="3" t="s">
        <v>709</v>
      </c>
      <c r="D99" s="101">
        <v>42676</v>
      </c>
      <c r="E99" s="3" t="s">
        <v>710</v>
      </c>
      <c r="F99" s="3">
        <v>44.09</v>
      </c>
      <c r="G99" s="3" t="s">
        <v>3</v>
      </c>
      <c r="H99" s="3">
        <v>44.35</v>
      </c>
      <c r="I99" s="2">
        <v>44.35</v>
      </c>
      <c r="J99" s="4">
        <v>44.09</v>
      </c>
      <c r="K99" s="1">
        <v>0</v>
      </c>
      <c r="L99" s="6">
        <v>0</v>
      </c>
      <c r="M99" s="6">
        <v>-7.3400000000000007E-2</v>
      </c>
      <c r="N99" s="6">
        <v>0.28539999999999999</v>
      </c>
      <c r="O99">
        <v>34.299999999999997</v>
      </c>
      <c r="P99">
        <v>47.58</v>
      </c>
      <c r="Q99" t="s">
        <v>3</v>
      </c>
      <c r="R99" s="9" t="s">
        <v>3</v>
      </c>
      <c r="S99" s="3" t="s">
        <v>3</v>
      </c>
      <c r="T99" s="3">
        <v>0</v>
      </c>
      <c r="U99" s="3" t="s">
        <v>3</v>
      </c>
      <c r="V99" s="3" t="s">
        <v>3</v>
      </c>
      <c r="W99" s="3" t="s">
        <v>3</v>
      </c>
      <c r="X99" s="10">
        <v>45.1</v>
      </c>
      <c r="Y99" s="6">
        <v>-2.2499999999999999E-2</v>
      </c>
      <c r="Z99" s="10">
        <v>42.22</v>
      </c>
      <c r="AA99" s="6">
        <v>4.4299999999999999E-2</v>
      </c>
      <c r="AB99" s="102">
        <v>2039</v>
      </c>
      <c r="AC99">
        <v>44.09</v>
      </c>
      <c r="AD99" s="10">
        <v>78</v>
      </c>
      <c r="AE99">
        <v>123</v>
      </c>
      <c r="AF99" s="10">
        <v>44.09</v>
      </c>
    </row>
    <row r="100" spans="1:32" ht="16" customHeight="1" x14ac:dyDescent="0.25">
      <c r="A100" s="105" t="s">
        <v>1188</v>
      </c>
      <c r="C100" s="3" t="s">
        <v>711</v>
      </c>
      <c r="D100" s="101">
        <v>42653</v>
      </c>
      <c r="E100" s="3" t="s">
        <v>712</v>
      </c>
      <c r="F100" s="3">
        <v>0.9</v>
      </c>
      <c r="G100" s="3">
        <v>118846000</v>
      </c>
      <c r="H100" s="3">
        <v>0.9</v>
      </c>
      <c r="I100" s="2">
        <v>0.9</v>
      </c>
      <c r="J100" s="4">
        <v>0.9</v>
      </c>
      <c r="K100" s="1">
        <v>0</v>
      </c>
      <c r="L100" s="6">
        <v>0</v>
      </c>
      <c r="M100" s="6">
        <v>-9.5500000000000002E-2</v>
      </c>
      <c r="N100" s="6">
        <v>899</v>
      </c>
      <c r="O100">
        <v>0</v>
      </c>
      <c r="P100">
        <v>1</v>
      </c>
      <c r="Q100" t="s">
        <v>713</v>
      </c>
      <c r="R100" s="9">
        <v>14.29</v>
      </c>
      <c r="S100" s="3" t="s">
        <v>3</v>
      </c>
      <c r="T100" s="3">
        <v>0</v>
      </c>
      <c r="U100" s="3">
        <v>0.06</v>
      </c>
      <c r="V100" s="3" t="s">
        <v>714</v>
      </c>
      <c r="W100" s="3" t="s">
        <v>3</v>
      </c>
      <c r="X100" s="10">
        <v>0.91</v>
      </c>
      <c r="Y100" s="6">
        <v>-8.8999999999999999E-3</v>
      </c>
      <c r="Z100" s="10">
        <v>0.89</v>
      </c>
      <c r="AA100" s="6">
        <v>8.6999999999999994E-3</v>
      </c>
      <c r="AB100" s="102">
        <v>487</v>
      </c>
      <c r="AC100">
        <v>0.9</v>
      </c>
      <c r="AD100" s="10">
        <v>588</v>
      </c>
      <c r="AE100">
        <v>588</v>
      </c>
      <c r="AF100" s="10">
        <v>0.9</v>
      </c>
    </row>
    <row r="101" spans="1:32" ht="16" customHeight="1" x14ac:dyDescent="0.25">
      <c r="A101" s="105" t="s">
        <v>1189</v>
      </c>
      <c r="C101" s="3" t="s">
        <v>715</v>
      </c>
      <c r="D101" s="101">
        <v>42678</v>
      </c>
      <c r="E101" s="3" t="s">
        <v>411</v>
      </c>
      <c r="F101" s="3">
        <v>0.495</v>
      </c>
      <c r="G101" s="3">
        <v>155144000</v>
      </c>
      <c r="H101" s="3">
        <v>0.51</v>
      </c>
      <c r="I101" s="2">
        <v>0.52</v>
      </c>
      <c r="J101" s="4">
        <v>0.48</v>
      </c>
      <c r="K101" s="1">
        <v>-0.01</v>
      </c>
      <c r="L101" s="6">
        <v>-1.9800000000000002E-2</v>
      </c>
      <c r="M101" s="6">
        <v>-0.39634000000000003</v>
      </c>
      <c r="N101" s="6">
        <v>5.1875</v>
      </c>
      <c r="O101">
        <v>0.08</v>
      </c>
      <c r="P101">
        <v>0.82</v>
      </c>
      <c r="Q101" t="s">
        <v>716</v>
      </c>
      <c r="R101" s="9" t="s">
        <v>3</v>
      </c>
      <c r="S101" s="3" t="s">
        <v>3</v>
      </c>
      <c r="T101" s="3">
        <v>0</v>
      </c>
      <c r="U101" s="3">
        <v>-2.7E-2</v>
      </c>
      <c r="V101" s="3" t="s">
        <v>717</v>
      </c>
      <c r="W101" s="3" t="s">
        <v>3</v>
      </c>
      <c r="X101" s="10">
        <v>0.60699999999999998</v>
      </c>
      <c r="Y101" s="6">
        <v>-0.18437000000000001</v>
      </c>
      <c r="Z101" s="10">
        <v>0.309</v>
      </c>
      <c r="AA101" s="6">
        <v>0.60031999999999996</v>
      </c>
      <c r="AB101" s="102">
        <v>4878120</v>
      </c>
      <c r="AC101">
        <v>0.495</v>
      </c>
      <c r="AD101" s="10">
        <v>4</v>
      </c>
      <c r="AE101">
        <v>715146</v>
      </c>
      <c r="AF101" s="10">
        <v>0.505</v>
      </c>
    </row>
    <row r="102" spans="1:32" ht="16" customHeight="1" x14ac:dyDescent="0.25">
      <c r="A102" s="105" t="s">
        <v>1190</v>
      </c>
      <c r="C102" s="3" t="s">
        <v>718</v>
      </c>
      <c r="D102" s="101">
        <v>42678</v>
      </c>
      <c r="E102" s="3" t="s">
        <v>498</v>
      </c>
      <c r="F102" s="3">
        <v>2.14</v>
      </c>
      <c r="G102" s="3" t="s">
        <v>3</v>
      </c>
      <c r="H102" s="3">
        <v>2.12</v>
      </c>
      <c r="I102" s="2">
        <v>2.16</v>
      </c>
      <c r="J102" s="4">
        <v>2.12</v>
      </c>
      <c r="K102" s="1">
        <v>-0.02</v>
      </c>
      <c r="L102" s="6">
        <v>-9.2999999999999992E-3</v>
      </c>
      <c r="M102" s="6">
        <v>-8.9399999999999993E-2</v>
      </c>
      <c r="N102" s="6">
        <v>9.1800000000000007E-2</v>
      </c>
      <c r="O102">
        <v>1.96</v>
      </c>
      <c r="P102">
        <v>2.35</v>
      </c>
      <c r="Q102" t="s">
        <v>3</v>
      </c>
      <c r="R102" s="9" t="s">
        <v>3</v>
      </c>
      <c r="S102" s="3" t="s">
        <v>3</v>
      </c>
      <c r="T102" s="3">
        <v>0.09</v>
      </c>
      <c r="U102" s="3">
        <v>0.18</v>
      </c>
      <c r="V102" s="3">
        <v>0</v>
      </c>
      <c r="W102" s="3" t="s">
        <v>3</v>
      </c>
      <c r="X102" s="10">
        <v>2.21</v>
      </c>
      <c r="Y102" s="6">
        <v>-3.0700000000000002E-2</v>
      </c>
      <c r="Z102" s="10">
        <v>2.2200000000000002</v>
      </c>
      <c r="AA102" s="6">
        <v>-3.78E-2</v>
      </c>
      <c r="AB102" s="102">
        <v>47199</v>
      </c>
      <c r="AC102">
        <v>2.14</v>
      </c>
      <c r="AD102" s="10">
        <v>2000</v>
      </c>
      <c r="AE102">
        <v>21914</v>
      </c>
      <c r="AF102" s="10">
        <v>2.16</v>
      </c>
    </row>
    <row r="103" spans="1:32" ht="16" customHeight="1" x14ac:dyDescent="0.25">
      <c r="A103" s="105" t="s">
        <v>1191</v>
      </c>
      <c r="C103" s="3" t="s">
        <v>719</v>
      </c>
      <c r="D103" s="101">
        <v>42678</v>
      </c>
      <c r="E103" s="3" t="s">
        <v>720</v>
      </c>
      <c r="F103" s="3">
        <v>0.33</v>
      </c>
      <c r="G103" s="3" t="s">
        <v>3</v>
      </c>
      <c r="H103" s="3">
        <v>0.33</v>
      </c>
      <c r="I103" s="2">
        <v>0.33</v>
      </c>
      <c r="J103" s="4">
        <v>0.33</v>
      </c>
      <c r="K103" s="1">
        <v>0</v>
      </c>
      <c r="L103" s="6">
        <v>0</v>
      </c>
      <c r="M103" s="6">
        <v>-0.77239999999999998</v>
      </c>
      <c r="N103" s="6">
        <v>0</v>
      </c>
      <c r="O103">
        <v>0.33</v>
      </c>
      <c r="P103">
        <v>1.45</v>
      </c>
      <c r="Q103" t="s">
        <v>3</v>
      </c>
      <c r="R103" s="9" t="s">
        <v>3</v>
      </c>
      <c r="S103" s="3" t="s">
        <v>3</v>
      </c>
      <c r="T103" s="3">
        <v>0</v>
      </c>
      <c r="U103" s="3" t="s">
        <v>3</v>
      </c>
      <c r="V103" s="3">
        <v>0</v>
      </c>
      <c r="W103" s="3" t="s">
        <v>3</v>
      </c>
      <c r="X103" s="10">
        <v>0.97</v>
      </c>
      <c r="Y103" s="6">
        <v>-0.66059999999999997</v>
      </c>
      <c r="Z103" s="10">
        <v>1.01</v>
      </c>
      <c r="AA103" s="6">
        <v>-0.67300000000000004</v>
      </c>
      <c r="AB103" s="102">
        <v>1541</v>
      </c>
      <c r="AC103">
        <v>0.33</v>
      </c>
      <c r="AD103" s="10">
        <v>2585</v>
      </c>
      <c r="AE103">
        <v>37595</v>
      </c>
      <c r="AF103" s="10">
        <v>0.33</v>
      </c>
    </row>
    <row r="104" spans="1:32" ht="16" customHeight="1" x14ac:dyDescent="0.25">
      <c r="A104" s="105" t="s">
        <v>1192</v>
      </c>
      <c r="C104" s="3" t="s">
        <v>721</v>
      </c>
      <c r="D104" s="101">
        <v>42678</v>
      </c>
      <c r="E104" s="3" t="s">
        <v>411</v>
      </c>
      <c r="F104" s="3">
        <v>1.175</v>
      </c>
      <c r="G104" s="3">
        <v>72660000</v>
      </c>
      <c r="H104" s="3">
        <v>1.18</v>
      </c>
      <c r="I104" s="2">
        <v>1.18</v>
      </c>
      <c r="J104" s="4">
        <v>1.17</v>
      </c>
      <c r="K104" s="1">
        <v>-5.0000000000000001E-3</v>
      </c>
      <c r="L104" s="6">
        <v>-4.2399999999999998E-3</v>
      </c>
      <c r="M104" s="6">
        <v>-0.18966</v>
      </c>
      <c r="N104" s="6">
        <v>0.22395999999999999</v>
      </c>
      <c r="O104">
        <v>0.96</v>
      </c>
      <c r="P104">
        <v>1.45</v>
      </c>
      <c r="Q104" t="s">
        <v>722</v>
      </c>
      <c r="R104" s="9">
        <v>9.2520000000000007</v>
      </c>
      <c r="S104" s="3" t="s">
        <v>3</v>
      </c>
      <c r="T104" s="3">
        <v>-5.82</v>
      </c>
      <c r="U104" s="3">
        <v>0.127</v>
      </c>
      <c r="V104" s="3" t="s">
        <v>723</v>
      </c>
      <c r="W104" s="3" t="s">
        <v>3</v>
      </c>
      <c r="X104" s="10">
        <v>1.2430000000000001</v>
      </c>
      <c r="Y104" s="6">
        <v>-5.4620000000000002E-2</v>
      </c>
      <c r="Z104" s="10">
        <v>1.2130000000000001</v>
      </c>
      <c r="AA104" s="6">
        <v>-3.1559999999999998E-2</v>
      </c>
      <c r="AB104" s="102">
        <v>157382</v>
      </c>
      <c r="AC104">
        <v>1.175</v>
      </c>
      <c r="AD104" s="10">
        <v>425</v>
      </c>
      <c r="AE104">
        <v>37430</v>
      </c>
      <c r="AF104" s="10">
        <v>1.18</v>
      </c>
    </row>
    <row r="105" spans="1:32" ht="16" customHeight="1" x14ac:dyDescent="0.25">
      <c r="A105" s="105" t="s">
        <v>1193</v>
      </c>
      <c r="C105" s="3" t="s">
        <v>724</v>
      </c>
      <c r="D105" s="101">
        <v>42669</v>
      </c>
      <c r="E105" s="3" t="s">
        <v>26</v>
      </c>
      <c r="F105" s="3">
        <v>0.77</v>
      </c>
      <c r="G105" s="3">
        <v>95754000</v>
      </c>
      <c r="H105" s="3">
        <v>0.75</v>
      </c>
      <c r="I105" s="2">
        <v>0.77</v>
      </c>
      <c r="J105" s="4">
        <v>0.72</v>
      </c>
      <c r="K105" s="1">
        <v>0</v>
      </c>
      <c r="L105" s="6">
        <v>0</v>
      </c>
      <c r="M105" s="6">
        <v>-0.27700000000000002</v>
      </c>
      <c r="N105" s="6">
        <v>1.2646999999999999</v>
      </c>
      <c r="O105">
        <v>0.34</v>
      </c>
      <c r="P105">
        <v>1.07</v>
      </c>
      <c r="Q105" t="s">
        <v>725</v>
      </c>
      <c r="R105" s="9" t="s">
        <v>3</v>
      </c>
      <c r="S105" s="3" t="s">
        <v>3</v>
      </c>
      <c r="T105" s="3">
        <v>0</v>
      </c>
      <c r="U105" s="3">
        <v>-0.06</v>
      </c>
      <c r="V105" s="3" t="s">
        <v>726</v>
      </c>
      <c r="W105" s="3" t="s">
        <v>3</v>
      </c>
      <c r="X105" s="10">
        <v>0.77</v>
      </c>
      <c r="Y105" s="6">
        <v>-5.7999999999999996E-3</v>
      </c>
      <c r="Z105" s="10">
        <v>0.69</v>
      </c>
      <c r="AA105" s="6">
        <v>0.11550000000000001</v>
      </c>
      <c r="AB105" s="102">
        <v>123670</v>
      </c>
      <c r="AC105">
        <v>0.77</v>
      </c>
      <c r="AD105" s="10">
        <v>600</v>
      </c>
      <c r="AE105">
        <v>79847</v>
      </c>
      <c r="AF105" s="10">
        <v>0.77</v>
      </c>
    </row>
    <row r="106" spans="1:32" ht="16" customHeight="1" x14ac:dyDescent="0.25">
      <c r="A106" s="105" t="s">
        <v>1194</v>
      </c>
      <c r="C106" s="3" t="s">
        <v>727</v>
      </c>
      <c r="D106" s="101">
        <v>42678</v>
      </c>
      <c r="E106" s="3" t="s">
        <v>427</v>
      </c>
      <c r="F106" s="3">
        <v>0.31</v>
      </c>
      <c r="G106" s="3">
        <v>338465000</v>
      </c>
      <c r="H106" s="3">
        <v>0.32</v>
      </c>
      <c r="I106" s="2">
        <v>0.32</v>
      </c>
      <c r="J106" s="4">
        <v>0.31</v>
      </c>
      <c r="K106" s="1">
        <v>-0.01</v>
      </c>
      <c r="L106" s="6">
        <v>-3.1199999999999999E-2</v>
      </c>
      <c r="M106" s="6">
        <v>-0.3034</v>
      </c>
      <c r="N106" s="6">
        <v>5.4583000000000004</v>
      </c>
      <c r="O106">
        <v>0.05</v>
      </c>
      <c r="P106">
        <v>0.44</v>
      </c>
      <c r="Q106" t="s">
        <v>728</v>
      </c>
      <c r="R106" s="9" t="s">
        <v>3</v>
      </c>
      <c r="S106" s="3" t="s">
        <v>3</v>
      </c>
      <c r="T106" s="3">
        <v>0</v>
      </c>
      <c r="U106" s="3">
        <v>-0.03</v>
      </c>
      <c r="V106" s="3" t="s">
        <v>729</v>
      </c>
      <c r="W106" s="3" t="s">
        <v>3</v>
      </c>
      <c r="X106" s="10">
        <v>0.32</v>
      </c>
      <c r="Y106" s="6">
        <v>-4.1399999999999999E-2</v>
      </c>
      <c r="Z106" s="10">
        <v>0.26</v>
      </c>
      <c r="AA106" s="6">
        <v>0.19389999999999999</v>
      </c>
      <c r="AB106" s="102">
        <v>1431460</v>
      </c>
      <c r="AC106">
        <v>0.31</v>
      </c>
      <c r="AD106" s="10">
        <v>1959</v>
      </c>
      <c r="AE106">
        <v>303999</v>
      </c>
      <c r="AF106" s="10">
        <v>0.32</v>
      </c>
    </row>
    <row r="107" spans="1:32" ht="16" customHeight="1" x14ac:dyDescent="0.25">
      <c r="A107" s="105" t="s">
        <v>1195</v>
      </c>
      <c r="C107" s="3" t="s">
        <v>730</v>
      </c>
      <c r="D107" s="101">
        <v>42678</v>
      </c>
      <c r="E107" s="3" t="s">
        <v>411</v>
      </c>
      <c r="F107" s="3">
        <v>4</v>
      </c>
      <c r="G107" s="3">
        <v>9955000</v>
      </c>
      <c r="H107" s="3">
        <v>4</v>
      </c>
      <c r="I107" s="2">
        <v>4</v>
      </c>
      <c r="J107" s="4">
        <v>4</v>
      </c>
      <c r="K107" s="1">
        <v>-0.08</v>
      </c>
      <c r="L107" s="6">
        <v>-1.9599999999999999E-2</v>
      </c>
      <c r="M107" s="6">
        <v>-8.6800000000000002E-2</v>
      </c>
      <c r="N107" s="6">
        <v>0.6</v>
      </c>
      <c r="O107">
        <v>2.5</v>
      </c>
      <c r="P107">
        <v>4.38</v>
      </c>
      <c r="Q107" t="s">
        <v>731</v>
      </c>
      <c r="R107" s="9">
        <v>21.39</v>
      </c>
      <c r="S107" s="3" t="s">
        <v>3</v>
      </c>
      <c r="T107" s="3">
        <v>0.84</v>
      </c>
      <c r="U107" s="3">
        <v>0.19</v>
      </c>
      <c r="V107" s="3" t="s">
        <v>732</v>
      </c>
      <c r="W107" s="3" t="s">
        <v>3</v>
      </c>
      <c r="X107" s="10">
        <v>3.74</v>
      </c>
      <c r="Y107" s="6">
        <v>6.8699999999999997E-2</v>
      </c>
      <c r="Z107" s="10">
        <v>3.26</v>
      </c>
      <c r="AA107" s="6">
        <v>0.2258</v>
      </c>
      <c r="AB107" s="102">
        <v>50816</v>
      </c>
      <c r="AC107">
        <v>4</v>
      </c>
      <c r="AD107" s="10">
        <v>92</v>
      </c>
      <c r="AE107">
        <v>7892</v>
      </c>
      <c r="AF107" s="10">
        <v>4.08</v>
      </c>
    </row>
    <row r="108" spans="1:32" ht="16" customHeight="1" x14ac:dyDescent="0.25">
      <c r="A108" s="105" t="s">
        <v>1196</v>
      </c>
      <c r="C108" s="3" t="s">
        <v>733</v>
      </c>
      <c r="D108" s="101">
        <v>42678</v>
      </c>
      <c r="E108" s="3" t="s">
        <v>685</v>
      </c>
      <c r="F108" s="3">
        <v>0.71</v>
      </c>
      <c r="G108" s="3">
        <v>105034000</v>
      </c>
      <c r="H108" s="3">
        <v>0.69</v>
      </c>
      <c r="I108" s="2">
        <v>0.74</v>
      </c>
      <c r="J108" s="4">
        <v>0.69</v>
      </c>
      <c r="K108" s="1">
        <v>0.01</v>
      </c>
      <c r="L108" s="6">
        <v>2.1600000000000001E-2</v>
      </c>
      <c r="M108" s="6">
        <v>-0.15479999999999999</v>
      </c>
      <c r="N108" s="6">
        <v>5.1738999999999997</v>
      </c>
      <c r="O108">
        <v>0.12</v>
      </c>
      <c r="P108">
        <v>0.84</v>
      </c>
      <c r="Q108" t="s">
        <v>734</v>
      </c>
      <c r="R108" s="9" t="s">
        <v>3</v>
      </c>
      <c r="S108" s="3" t="s">
        <v>3</v>
      </c>
      <c r="T108" s="3">
        <v>0</v>
      </c>
      <c r="U108" s="3">
        <v>-0.09</v>
      </c>
      <c r="V108" s="3" t="s">
        <v>735</v>
      </c>
      <c r="W108" s="3" t="s">
        <v>3</v>
      </c>
      <c r="X108" s="10">
        <v>0.64</v>
      </c>
      <c r="Y108" s="6">
        <v>0.1052</v>
      </c>
      <c r="Z108" s="10">
        <v>0.39</v>
      </c>
      <c r="AA108" s="6">
        <v>0.82520000000000004</v>
      </c>
      <c r="AB108" s="102">
        <v>569322</v>
      </c>
      <c r="AC108">
        <v>0.71</v>
      </c>
      <c r="AD108" s="10">
        <v>6765</v>
      </c>
      <c r="AE108">
        <v>330135</v>
      </c>
      <c r="AF108" s="10">
        <v>0.69</v>
      </c>
    </row>
    <row r="109" spans="1:32" ht="16" customHeight="1" x14ac:dyDescent="0.25">
      <c r="A109" s="105" t="s">
        <v>1197</v>
      </c>
      <c r="C109" s="3" t="s">
        <v>736</v>
      </c>
      <c r="D109" s="101">
        <v>42677</v>
      </c>
      <c r="E109" s="3" t="s">
        <v>26</v>
      </c>
      <c r="F109" s="3">
        <v>0.125</v>
      </c>
      <c r="G109" s="3">
        <v>689467000</v>
      </c>
      <c r="H109" s="3">
        <v>0.13</v>
      </c>
      <c r="I109" s="2">
        <v>0.13</v>
      </c>
      <c r="J109" s="4">
        <v>0.125</v>
      </c>
      <c r="K109" s="1">
        <v>0</v>
      </c>
      <c r="L109" s="6">
        <v>0</v>
      </c>
      <c r="M109" s="6">
        <v>-0.55674000000000001</v>
      </c>
      <c r="N109" s="6">
        <v>2.125</v>
      </c>
      <c r="O109">
        <v>0.04</v>
      </c>
      <c r="P109">
        <v>0.28199999999999997</v>
      </c>
      <c r="Q109" t="s">
        <v>737</v>
      </c>
      <c r="R109" s="9" t="s">
        <v>3</v>
      </c>
      <c r="S109" s="3" t="s">
        <v>3</v>
      </c>
      <c r="T109" s="3">
        <v>0</v>
      </c>
      <c r="U109" s="3">
        <v>-3.5000000000000003E-2</v>
      </c>
      <c r="V109" s="3" t="s">
        <v>738</v>
      </c>
      <c r="W109" s="3" t="s">
        <v>3</v>
      </c>
      <c r="X109" s="10">
        <v>0.13200000000000001</v>
      </c>
      <c r="Y109" s="6">
        <v>-5.3220000000000003E-2</v>
      </c>
      <c r="Z109" s="10">
        <v>0.17399999999999999</v>
      </c>
      <c r="AA109" s="6">
        <v>-0.2823</v>
      </c>
      <c r="AB109" s="102">
        <v>3340130</v>
      </c>
      <c r="AC109">
        <v>0.125</v>
      </c>
      <c r="AD109" s="10">
        <v>7978</v>
      </c>
      <c r="AE109">
        <v>513722</v>
      </c>
      <c r="AF109" s="10">
        <v>0.125</v>
      </c>
    </row>
    <row r="110" spans="1:32" ht="16" customHeight="1" x14ac:dyDescent="0.25">
      <c r="A110" s="105" t="s">
        <v>1198</v>
      </c>
      <c r="C110" s="3" t="s">
        <v>739</v>
      </c>
      <c r="D110" s="101">
        <v>42670</v>
      </c>
      <c r="E110" s="3" t="s">
        <v>740</v>
      </c>
      <c r="F110" s="3">
        <v>0.9</v>
      </c>
      <c r="G110" s="3">
        <v>17209000</v>
      </c>
      <c r="H110" s="3">
        <v>0.93</v>
      </c>
      <c r="I110" s="2">
        <v>0.93</v>
      </c>
      <c r="J110" s="4">
        <v>0.9</v>
      </c>
      <c r="K110" s="1">
        <v>0</v>
      </c>
      <c r="L110" s="6">
        <v>0</v>
      </c>
      <c r="M110" s="6">
        <v>-0.19639999999999999</v>
      </c>
      <c r="N110" s="6">
        <v>0.8</v>
      </c>
      <c r="O110">
        <v>0.5</v>
      </c>
      <c r="P110">
        <v>1.1200000000000001</v>
      </c>
      <c r="Q110" t="s">
        <v>741</v>
      </c>
      <c r="R110" s="9">
        <v>11.54</v>
      </c>
      <c r="S110" s="3" t="s">
        <v>3</v>
      </c>
      <c r="T110" s="3">
        <v>0</v>
      </c>
      <c r="U110" s="3">
        <v>0.08</v>
      </c>
      <c r="V110" s="3" t="s">
        <v>742</v>
      </c>
      <c r="W110" s="3" t="s">
        <v>3</v>
      </c>
      <c r="X110" s="10">
        <v>0.92</v>
      </c>
      <c r="Y110" s="6">
        <v>-2.1299999999999999E-2</v>
      </c>
      <c r="Z110" s="10">
        <v>0.92</v>
      </c>
      <c r="AA110" s="6">
        <v>-1.8100000000000002E-2</v>
      </c>
      <c r="AB110" s="102">
        <v>4581</v>
      </c>
      <c r="AC110">
        <v>0.9</v>
      </c>
      <c r="AD110" s="10">
        <v>5838</v>
      </c>
      <c r="AE110">
        <v>33500</v>
      </c>
      <c r="AF110" s="10">
        <v>0.9</v>
      </c>
    </row>
    <row r="111" spans="1:32" ht="16" customHeight="1" x14ac:dyDescent="0.25">
      <c r="A111" s="105" t="s">
        <v>1199</v>
      </c>
      <c r="C111" s="3" t="s">
        <v>743</v>
      </c>
      <c r="D111" s="101">
        <v>42678</v>
      </c>
      <c r="E111" s="3" t="s">
        <v>427</v>
      </c>
      <c r="F111" s="3">
        <v>0.31</v>
      </c>
      <c r="G111" s="3">
        <v>313192000</v>
      </c>
      <c r="H111" s="3">
        <v>0.31</v>
      </c>
      <c r="I111" s="2">
        <v>0.31</v>
      </c>
      <c r="J111" s="4">
        <v>0.31</v>
      </c>
      <c r="K111" s="1">
        <v>0</v>
      </c>
      <c r="L111" s="6">
        <v>0</v>
      </c>
      <c r="M111" s="6">
        <v>-0.53380000000000005</v>
      </c>
      <c r="N111" s="6">
        <v>5.0799999999999998E-2</v>
      </c>
      <c r="O111">
        <v>0.28999999999999998</v>
      </c>
      <c r="P111">
        <v>0.67</v>
      </c>
      <c r="Q111" t="s">
        <v>744</v>
      </c>
      <c r="R111" s="9" t="s">
        <v>3</v>
      </c>
      <c r="S111" s="3" t="s">
        <v>3</v>
      </c>
      <c r="T111" s="3">
        <v>0</v>
      </c>
      <c r="U111" s="3">
        <v>-0.01</v>
      </c>
      <c r="V111" s="3" t="s">
        <v>745</v>
      </c>
      <c r="W111" s="3" t="s">
        <v>3</v>
      </c>
      <c r="X111" s="10">
        <v>0.33</v>
      </c>
      <c r="Y111" s="6">
        <v>-5.96E-2</v>
      </c>
      <c r="Z111" s="10">
        <v>0.41</v>
      </c>
      <c r="AA111" s="6">
        <v>-0.2366</v>
      </c>
      <c r="AB111" s="102">
        <v>1400750</v>
      </c>
      <c r="AC111">
        <v>0.31</v>
      </c>
      <c r="AD111" s="10">
        <v>1050</v>
      </c>
      <c r="AE111">
        <v>193432</v>
      </c>
      <c r="AF111" s="10">
        <v>0.31</v>
      </c>
    </row>
    <row r="112" spans="1:32" ht="16" customHeight="1" x14ac:dyDescent="0.25">
      <c r="A112" s="105" t="s">
        <v>1200</v>
      </c>
      <c r="C112" s="3" t="s">
        <v>746</v>
      </c>
      <c r="D112" s="101">
        <v>42678</v>
      </c>
      <c r="E112" s="3" t="s">
        <v>747</v>
      </c>
      <c r="F112" s="3">
        <v>1.18</v>
      </c>
      <c r="G112" s="3">
        <v>57411000</v>
      </c>
      <c r="H112" s="3">
        <v>1.21</v>
      </c>
      <c r="I112" s="2">
        <v>1.21</v>
      </c>
      <c r="J112" s="4">
        <v>1.18</v>
      </c>
      <c r="K112" s="1">
        <v>-0.03</v>
      </c>
      <c r="L112" s="6">
        <v>-2.4799999999999999E-2</v>
      </c>
      <c r="M112" s="6">
        <v>-0.15709999999999999</v>
      </c>
      <c r="N112" s="6">
        <v>0.28260000000000002</v>
      </c>
      <c r="O112">
        <v>0.92</v>
      </c>
      <c r="P112">
        <v>1.4</v>
      </c>
      <c r="Q112" t="s">
        <v>748</v>
      </c>
      <c r="R112" s="9">
        <v>10.93</v>
      </c>
      <c r="S112" s="3" t="s">
        <v>3</v>
      </c>
      <c r="T112" s="3">
        <v>0</v>
      </c>
      <c r="U112" s="3">
        <v>0.11</v>
      </c>
      <c r="V112" s="3">
        <v>0</v>
      </c>
      <c r="W112" s="3" t="s">
        <v>3</v>
      </c>
      <c r="X112" s="10">
        <v>1.1599999999999999</v>
      </c>
      <c r="Y112" s="6">
        <v>1.5599999999999999E-2</v>
      </c>
      <c r="Z112" s="10">
        <v>1.0900000000000001</v>
      </c>
      <c r="AA112" s="6">
        <v>8.7300000000000003E-2</v>
      </c>
      <c r="AB112" s="102">
        <v>33464</v>
      </c>
      <c r="AC112">
        <v>1.18</v>
      </c>
      <c r="AD112" s="10">
        <v>6378</v>
      </c>
      <c r="AE112">
        <v>33466</v>
      </c>
      <c r="AF112" s="10">
        <v>1.21</v>
      </c>
    </row>
    <row r="113" spans="1:32" ht="16" customHeight="1" x14ac:dyDescent="0.25">
      <c r="A113" s="105" t="s">
        <v>1201</v>
      </c>
      <c r="C113" s="3" t="s">
        <v>749</v>
      </c>
      <c r="D113" s="101">
        <v>42678</v>
      </c>
      <c r="E113" s="3" t="s">
        <v>750</v>
      </c>
      <c r="F113" s="3">
        <v>27.04</v>
      </c>
      <c r="G113" s="3" t="s">
        <v>3</v>
      </c>
      <c r="H113" s="3">
        <v>27</v>
      </c>
      <c r="I113" s="2">
        <v>27.04</v>
      </c>
      <c r="J113" s="4">
        <v>27</v>
      </c>
      <c r="K113" s="1">
        <v>-0.17</v>
      </c>
      <c r="L113" s="6">
        <v>-6.1999999999999998E-3</v>
      </c>
      <c r="M113" s="6">
        <v>-7.0499999999999993E-2</v>
      </c>
      <c r="N113" s="6">
        <v>8.2900000000000001E-2</v>
      </c>
      <c r="O113">
        <v>24.97</v>
      </c>
      <c r="P113">
        <v>29.09</v>
      </c>
      <c r="Q113" t="s">
        <v>3</v>
      </c>
      <c r="R113" s="9" t="s">
        <v>3</v>
      </c>
      <c r="S113" s="3" t="s">
        <v>3</v>
      </c>
      <c r="T113" s="3">
        <v>0</v>
      </c>
      <c r="U113" s="3" t="s">
        <v>3</v>
      </c>
      <c r="V113" s="3" t="s">
        <v>3</v>
      </c>
      <c r="W113" s="3" t="s">
        <v>3</v>
      </c>
      <c r="X113" s="10">
        <v>28.1</v>
      </c>
      <c r="Y113" s="6">
        <v>-3.78E-2</v>
      </c>
      <c r="Z113" s="10">
        <v>27.91</v>
      </c>
      <c r="AA113" s="6">
        <v>-3.1099999999999999E-2</v>
      </c>
      <c r="AB113" s="102">
        <v>10731</v>
      </c>
      <c r="AC113">
        <v>27.04</v>
      </c>
      <c r="AD113" s="10">
        <v>294</v>
      </c>
      <c r="AE113">
        <v>694</v>
      </c>
      <c r="AF113" s="10">
        <v>27.21</v>
      </c>
    </row>
    <row r="114" spans="1:32" ht="16" customHeight="1" x14ac:dyDescent="0.25">
      <c r="A114" s="105" t="s">
        <v>1202</v>
      </c>
      <c r="C114" s="3" t="s">
        <v>751</v>
      </c>
      <c r="D114" s="101">
        <v>42678</v>
      </c>
      <c r="E114" s="3" t="s">
        <v>752</v>
      </c>
      <c r="F114" s="3">
        <v>0.58499999999999996</v>
      </c>
      <c r="G114" s="3">
        <v>196028000</v>
      </c>
      <c r="H114" s="3">
        <v>0.57999999999999996</v>
      </c>
      <c r="I114" s="2">
        <v>0.59</v>
      </c>
      <c r="J114" s="4">
        <v>0.57999999999999996</v>
      </c>
      <c r="K114" s="1">
        <v>0</v>
      </c>
      <c r="L114" s="6">
        <v>0</v>
      </c>
      <c r="M114" s="6">
        <v>-0.27778000000000003</v>
      </c>
      <c r="N114" s="6">
        <v>6.13415</v>
      </c>
      <c r="O114">
        <v>8.2000000000000003E-2</v>
      </c>
      <c r="P114">
        <v>0.81</v>
      </c>
      <c r="Q114" t="s">
        <v>753</v>
      </c>
      <c r="R114" s="9" t="s">
        <v>3</v>
      </c>
      <c r="S114" s="3" t="s">
        <v>3</v>
      </c>
      <c r="T114" s="3">
        <v>0</v>
      </c>
      <c r="U114" s="3">
        <v>-4.0000000000000001E-3</v>
      </c>
      <c r="V114" s="3">
        <v>-503323</v>
      </c>
      <c r="W114" s="3" t="s">
        <v>3</v>
      </c>
      <c r="X114" s="10">
        <v>0.60299999999999998</v>
      </c>
      <c r="Y114" s="6">
        <v>-2.9149999999999999E-2</v>
      </c>
      <c r="Z114" s="10">
        <v>0.59099999999999997</v>
      </c>
      <c r="AA114" s="6">
        <v>-1.0460000000000001E-2</v>
      </c>
      <c r="AB114" s="102">
        <v>392894</v>
      </c>
      <c r="AC114">
        <v>0.58499999999999996</v>
      </c>
      <c r="AD114" s="10">
        <v>13</v>
      </c>
      <c r="AE114">
        <v>110760</v>
      </c>
      <c r="AF114" s="10">
        <v>0.58499999999999996</v>
      </c>
    </row>
    <row r="115" spans="1:32" ht="16" customHeight="1" x14ac:dyDescent="0.25">
      <c r="A115" s="105" t="s">
        <v>1203</v>
      </c>
      <c r="C115" s="3" t="s">
        <v>754</v>
      </c>
      <c r="D115" s="101">
        <v>42678</v>
      </c>
      <c r="E115" s="3" t="s">
        <v>665</v>
      </c>
      <c r="F115" s="3">
        <v>3.5999999999999997E-2</v>
      </c>
      <c r="G115" s="3">
        <v>3641019000</v>
      </c>
      <c r="H115" s="3">
        <v>3.5999999999999997E-2</v>
      </c>
      <c r="I115" s="2">
        <v>3.6999999999999998E-2</v>
      </c>
      <c r="J115" s="4">
        <v>3.5999999999999997E-2</v>
      </c>
      <c r="K115" s="1">
        <v>1E-3</v>
      </c>
      <c r="L115" s="6">
        <v>2.8570000000000002E-2</v>
      </c>
      <c r="M115" s="6">
        <v>-0.56098000000000003</v>
      </c>
      <c r="N115" s="6">
        <v>5</v>
      </c>
      <c r="O115">
        <v>6.0000000000000001E-3</v>
      </c>
      <c r="P115">
        <v>8.2000000000000003E-2</v>
      </c>
      <c r="Q115" t="s">
        <v>755</v>
      </c>
      <c r="R115" s="9" t="s">
        <v>3</v>
      </c>
      <c r="S115" s="3" t="s">
        <v>3</v>
      </c>
      <c r="T115" s="3">
        <v>0</v>
      </c>
      <c r="U115" s="3">
        <v>-3.0000000000000001E-3</v>
      </c>
      <c r="V115" s="3" t="s">
        <v>756</v>
      </c>
      <c r="W115" s="3" t="s">
        <v>3</v>
      </c>
      <c r="X115" s="10">
        <v>4.2000000000000003E-2</v>
      </c>
      <c r="Y115" s="6">
        <v>-0.13450000000000001</v>
      </c>
      <c r="Z115" s="10">
        <v>3.9E-2</v>
      </c>
      <c r="AA115" s="6">
        <v>-7.4450000000000002E-2</v>
      </c>
      <c r="AB115" s="102">
        <v>14293100</v>
      </c>
      <c r="AC115">
        <v>3.5999999999999997E-2</v>
      </c>
      <c r="AD115" s="10">
        <v>33244</v>
      </c>
      <c r="AE115">
        <v>2949996</v>
      </c>
      <c r="AF115" s="10">
        <v>3.5000000000000003E-2</v>
      </c>
    </row>
    <row r="116" spans="1:32" ht="16" customHeight="1" x14ac:dyDescent="0.25">
      <c r="A116" s="105" t="s">
        <v>1204</v>
      </c>
      <c r="C116" s="3" t="s">
        <v>757</v>
      </c>
      <c r="D116" s="101">
        <v>42678</v>
      </c>
      <c r="E116" s="3" t="s">
        <v>758</v>
      </c>
      <c r="F116" s="3">
        <v>0.18</v>
      </c>
      <c r="G116" s="3">
        <v>523238000</v>
      </c>
      <c r="H116" s="3">
        <v>0.19</v>
      </c>
      <c r="I116" s="2">
        <v>0.19</v>
      </c>
      <c r="J116" s="4">
        <v>0.18</v>
      </c>
      <c r="K116" s="1">
        <v>-0.01</v>
      </c>
      <c r="L116" s="6">
        <v>-7.6899999999999996E-2</v>
      </c>
      <c r="M116" s="6">
        <v>-0.1628</v>
      </c>
      <c r="N116" s="6">
        <v>6.3468999999999998</v>
      </c>
      <c r="O116">
        <v>0.02</v>
      </c>
      <c r="P116">
        <v>0.22</v>
      </c>
      <c r="Q116" t="s">
        <v>759</v>
      </c>
      <c r="R116" s="9" t="s">
        <v>3</v>
      </c>
      <c r="S116" s="3" t="s">
        <v>3</v>
      </c>
      <c r="T116" s="3">
        <v>0.01</v>
      </c>
      <c r="U116" s="3">
        <v>-0.03</v>
      </c>
      <c r="V116" s="3" t="s">
        <v>760</v>
      </c>
      <c r="W116" s="3" t="s">
        <v>3</v>
      </c>
      <c r="X116" s="10">
        <v>0.16</v>
      </c>
      <c r="Y116" s="6">
        <v>9.7199999999999995E-2</v>
      </c>
      <c r="Z116" s="10">
        <v>0.13</v>
      </c>
      <c r="AA116" s="6">
        <v>0.38850000000000001</v>
      </c>
      <c r="AB116" s="102">
        <v>417056</v>
      </c>
      <c r="AC116">
        <v>0.18</v>
      </c>
      <c r="AD116" s="10">
        <v>34000</v>
      </c>
      <c r="AE116">
        <v>127419</v>
      </c>
      <c r="AF116" s="10">
        <v>0.19</v>
      </c>
    </row>
    <row r="117" spans="1:32" ht="16" customHeight="1" x14ac:dyDescent="0.25">
      <c r="A117" s="105" t="s">
        <v>1205</v>
      </c>
      <c r="C117" s="3" t="s">
        <v>761</v>
      </c>
      <c r="D117" s="101">
        <v>42678</v>
      </c>
      <c r="E117" s="3" t="s">
        <v>448</v>
      </c>
      <c r="F117" s="3">
        <v>1.04</v>
      </c>
      <c r="G117" s="3">
        <v>112709000</v>
      </c>
      <c r="H117" s="3">
        <v>1.02</v>
      </c>
      <c r="I117" s="2">
        <v>1.05</v>
      </c>
      <c r="J117" s="4">
        <v>1.02</v>
      </c>
      <c r="K117" s="1">
        <v>0</v>
      </c>
      <c r="L117" s="6">
        <v>0</v>
      </c>
      <c r="M117" s="6">
        <v>-0.55559999999999998</v>
      </c>
      <c r="N117" s="6">
        <v>0.66400000000000003</v>
      </c>
      <c r="O117">
        <v>0.62</v>
      </c>
      <c r="P117">
        <v>2.34</v>
      </c>
      <c r="Q117" t="s">
        <v>762</v>
      </c>
      <c r="R117" s="9">
        <v>38.520000000000003</v>
      </c>
      <c r="S117" s="3" t="s">
        <v>3</v>
      </c>
      <c r="T117" s="3">
        <v>2.5299999999999998</v>
      </c>
      <c r="U117" s="3">
        <v>0.03</v>
      </c>
      <c r="V117" s="3" t="s">
        <v>763</v>
      </c>
      <c r="W117" s="3" t="s">
        <v>3</v>
      </c>
      <c r="X117" s="10">
        <v>1.06</v>
      </c>
      <c r="Y117" s="6">
        <v>-1.9400000000000001E-2</v>
      </c>
      <c r="Z117" s="10">
        <v>0.95</v>
      </c>
      <c r="AA117" s="6">
        <v>9.6799999999999997E-2</v>
      </c>
      <c r="AB117" s="102">
        <v>552013</v>
      </c>
      <c r="AC117">
        <v>1.04</v>
      </c>
      <c r="AD117" s="10">
        <v>80</v>
      </c>
      <c r="AE117">
        <v>218474</v>
      </c>
      <c r="AF117" s="10">
        <v>1.04</v>
      </c>
    </row>
    <row r="118" spans="1:32" ht="16" customHeight="1" x14ac:dyDescent="0.25">
      <c r="A118" s="105" t="s">
        <v>1206</v>
      </c>
      <c r="C118" s="3" t="s">
        <v>764</v>
      </c>
      <c r="D118" s="101">
        <v>42677</v>
      </c>
      <c r="E118" s="3" t="s">
        <v>181</v>
      </c>
      <c r="F118" s="3">
        <v>0.71499999999999997</v>
      </c>
      <c r="G118" s="3">
        <v>129530000</v>
      </c>
      <c r="H118" s="3">
        <v>0.72499999999999998</v>
      </c>
      <c r="I118" s="2">
        <v>0.72499999999999998</v>
      </c>
      <c r="J118" s="4">
        <v>0.70499999999999996</v>
      </c>
      <c r="K118" s="1">
        <v>0</v>
      </c>
      <c r="L118" s="6">
        <v>0</v>
      </c>
      <c r="M118" s="6">
        <v>-0.20555999999999999</v>
      </c>
      <c r="N118" s="6">
        <v>0.78749999999999998</v>
      </c>
      <c r="O118">
        <v>0.4</v>
      </c>
      <c r="P118">
        <v>0.9</v>
      </c>
      <c r="Q118" t="s">
        <v>765</v>
      </c>
      <c r="R118" s="9" t="s">
        <v>3</v>
      </c>
      <c r="S118" s="3" t="s">
        <v>3</v>
      </c>
      <c r="T118" s="3">
        <v>0</v>
      </c>
      <c r="U118" s="3">
        <v>-7.4999999999999997E-2</v>
      </c>
      <c r="V118" s="3" t="s">
        <v>766</v>
      </c>
      <c r="W118" s="3" t="s">
        <v>3</v>
      </c>
      <c r="X118" s="10">
        <v>0.79800000000000004</v>
      </c>
      <c r="Y118" s="6">
        <v>-0.10352</v>
      </c>
      <c r="Z118" s="10">
        <v>0.71599999999999997</v>
      </c>
      <c r="AA118" s="6">
        <v>-1.8600000000000001E-3</v>
      </c>
      <c r="AB118" s="102">
        <v>324956</v>
      </c>
      <c r="AC118">
        <v>0.71499999999999997</v>
      </c>
      <c r="AD118" s="10">
        <v>3567</v>
      </c>
      <c r="AE118">
        <v>485465</v>
      </c>
      <c r="AF118" s="10">
        <v>0.71499999999999997</v>
      </c>
    </row>
    <row r="119" spans="1:32" ht="16" customHeight="1" x14ac:dyDescent="0.25">
      <c r="A119" s="105" t="s">
        <v>1207</v>
      </c>
      <c r="C119" s="3" t="s">
        <v>767</v>
      </c>
      <c r="D119" s="101">
        <v>42677</v>
      </c>
      <c r="E119" s="3" t="s">
        <v>768</v>
      </c>
      <c r="F119" s="3">
        <v>0.14199999999999999</v>
      </c>
      <c r="G119" s="3" t="s">
        <v>3</v>
      </c>
      <c r="H119" s="3">
        <v>0.14000000000000001</v>
      </c>
      <c r="I119" s="2">
        <v>0.14499999999999999</v>
      </c>
      <c r="J119" s="4">
        <v>0.14000000000000001</v>
      </c>
      <c r="K119" s="1">
        <v>0</v>
      </c>
      <c r="L119" s="6">
        <v>0</v>
      </c>
      <c r="M119" s="6">
        <v>-0.16471</v>
      </c>
      <c r="N119" s="6">
        <v>0.47303000000000001</v>
      </c>
      <c r="O119">
        <v>9.6000000000000002E-2</v>
      </c>
      <c r="P119">
        <v>0.17</v>
      </c>
      <c r="Q119" t="s">
        <v>3</v>
      </c>
      <c r="R119" s="9" t="s">
        <v>3</v>
      </c>
      <c r="S119" s="3" t="s">
        <v>3</v>
      </c>
      <c r="T119" s="3">
        <v>0</v>
      </c>
      <c r="U119" s="3">
        <v>0.03</v>
      </c>
      <c r="V119" s="3">
        <v>0</v>
      </c>
      <c r="W119" s="3" t="s">
        <v>3</v>
      </c>
      <c r="X119" s="10">
        <v>0.14599999999999999</v>
      </c>
      <c r="Y119" s="6">
        <v>-2.6499999999999999E-2</v>
      </c>
      <c r="Z119" s="10">
        <v>0.126</v>
      </c>
      <c r="AA119" s="6">
        <v>0.12809999999999999</v>
      </c>
      <c r="AB119" s="102">
        <v>1235400</v>
      </c>
      <c r="AC119">
        <v>0.14199999999999999</v>
      </c>
      <c r="AD119" s="10">
        <v>31822</v>
      </c>
      <c r="AE119">
        <v>385312</v>
      </c>
      <c r="AF119" s="10">
        <v>0.14199999999999999</v>
      </c>
    </row>
    <row r="120" spans="1:32" ht="16" customHeight="1" x14ac:dyDescent="0.25">
      <c r="A120" s="105" t="s">
        <v>1208</v>
      </c>
      <c r="C120" s="3" t="s">
        <v>769</v>
      </c>
      <c r="D120" s="101">
        <v>42678</v>
      </c>
      <c r="E120" s="3" t="s">
        <v>770</v>
      </c>
      <c r="F120" s="3">
        <v>0.49</v>
      </c>
      <c r="G120" s="3" t="s">
        <v>3</v>
      </c>
      <c r="H120" s="3">
        <v>0.5</v>
      </c>
      <c r="I120" s="2">
        <v>0.5</v>
      </c>
      <c r="J120" s="4">
        <v>0.49</v>
      </c>
      <c r="K120" s="1">
        <v>-0.01</v>
      </c>
      <c r="L120" s="6">
        <v>-0.02</v>
      </c>
      <c r="M120" s="6">
        <v>-0.2462</v>
      </c>
      <c r="N120" s="6">
        <v>1.9697</v>
      </c>
      <c r="O120">
        <v>0.17</v>
      </c>
      <c r="P120">
        <v>0.65</v>
      </c>
      <c r="Q120" t="s">
        <v>771</v>
      </c>
      <c r="R120" s="9" t="s">
        <v>3</v>
      </c>
      <c r="S120" s="3" t="s">
        <v>3</v>
      </c>
      <c r="T120" s="3">
        <v>0</v>
      </c>
      <c r="U120" s="3" t="s">
        <v>3</v>
      </c>
      <c r="V120" s="3">
        <v>0</v>
      </c>
      <c r="W120" s="3" t="s">
        <v>3</v>
      </c>
      <c r="X120" s="10">
        <v>0.55000000000000004</v>
      </c>
      <c r="Y120" s="6">
        <v>-0.1111</v>
      </c>
      <c r="Z120" s="10">
        <v>0.39</v>
      </c>
      <c r="AA120" s="6">
        <v>0.26669999999999999</v>
      </c>
      <c r="AB120" s="102">
        <v>347041</v>
      </c>
      <c r="AC120">
        <v>0.49</v>
      </c>
      <c r="AD120" s="10">
        <v>140</v>
      </c>
      <c r="AE120">
        <v>39377</v>
      </c>
      <c r="AF120" s="10">
        <v>0.5</v>
      </c>
    </row>
    <row r="121" spans="1:32" ht="16" customHeight="1" x14ac:dyDescent="0.25">
      <c r="A121" s="105" t="s">
        <v>1209</v>
      </c>
      <c r="C121" s="3" t="s">
        <v>772</v>
      </c>
      <c r="D121" s="101">
        <v>42678</v>
      </c>
      <c r="E121" s="3" t="s">
        <v>448</v>
      </c>
      <c r="F121" s="3">
        <v>0.54500000000000004</v>
      </c>
      <c r="G121" s="3">
        <v>119635000</v>
      </c>
      <c r="H121" s="3">
        <v>0.64</v>
      </c>
      <c r="I121" s="2">
        <v>0.64</v>
      </c>
      <c r="J121" s="4">
        <v>0.52500000000000002</v>
      </c>
      <c r="K121" s="1">
        <v>-9.5000000000000001E-2</v>
      </c>
      <c r="L121" s="6">
        <v>-0.14843999999999999</v>
      </c>
      <c r="M121" s="6">
        <v>-0.27333000000000002</v>
      </c>
      <c r="N121" s="6">
        <v>2.44937</v>
      </c>
      <c r="O121">
        <v>0.158</v>
      </c>
      <c r="P121">
        <v>0.75</v>
      </c>
      <c r="Q121" t="s">
        <v>773</v>
      </c>
      <c r="R121" s="9" t="s">
        <v>3</v>
      </c>
      <c r="S121" s="3" t="s">
        <v>3</v>
      </c>
      <c r="T121" s="3">
        <v>0</v>
      </c>
      <c r="U121" s="3">
        <v>-2.7E-2</v>
      </c>
      <c r="V121" s="3" t="s">
        <v>774</v>
      </c>
      <c r="W121" s="3" t="s">
        <v>3</v>
      </c>
      <c r="X121" s="10">
        <v>0.59399999999999997</v>
      </c>
      <c r="Y121" s="6">
        <v>-8.3199999999999996E-2</v>
      </c>
      <c r="Z121" s="10">
        <v>0.41299999999999998</v>
      </c>
      <c r="AA121" s="6">
        <v>0.32007000000000002</v>
      </c>
      <c r="AB121" s="102">
        <v>232287</v>
      </c>
      <c r="AC121">
        <v>0.54500000000000004</v>
      </c>
      <c r="AD121" s="10">
        <v>5824</v>
      </c>
      <c r="AE121">
        <v>511131</v>
      </c>
      <c r="AF121" s="10">
        <v>0.64</v>
      </c>
    </row>
    <row r="122" spans="1:32" ht="16" customHeight="1" x14ac:dyDescent="0.25">
      <c r="A122" s="105" t="s">
        <v>1210</v>
      </c>
      <c r="C122" s="3" t="s">
        <v>775</v>
      </c>
      <c r="D122" s="101">
        <v>42678</v>
      </c>
      <c r="E122" s="3" t="s">
        <v>427</v>
      </c>
      <c r="F122" s="3">
        <v>0.35499999999999998</v>
      </c>
      <c r="G122" s="3">
        <v>242370000</v>
      </c>
      <c r="H122" s="3">
        <v>0.36</v>
      </c>
      <c r="I122" s="2">
        <v>0.36</v>
      </c>
      <c r="J122" s="4">
        <v>0.35499999999999998</v>
      </c>
      <c r="K122" s="1">
        <v>-5.0000000000000001E-3</v>
      </c>
      <c r="L122" s="6">
        <v>-1.389E-2</v>
      </c>
      <c r="M122" s="6">
        <v>-0.47793999999999998</v>
      </c>
      <c r="N122" s="6">
        <v>0.85960999999999999</v>
      </c>
      <c r="O122">
        <v>0.191</v>
      </c>
      <c r="P122">
        <v>0.68</v>
      </c>
      <c r="Q122" t="s">
        <v>776</v>
      </c>
      <c r="R122" s="9" t="s">
        <v>3</v>
      </c>
      <c r="S122" s="3" t="s">
        <v>3</v>
      </c>
      <c r="T122" s="3">
        <v>-18.170000000000002</v>
      </c>
      <c r="U122" s="3">
        <v>-4.1000000000000002E-2</v>
      </c>
      <c r="V122" s="3" t="s">
        <v>777</v>
      </c>
      <c r="W122" s="3" t="s">
        <v>3</v>
      </c>
      <c r="X122" s="10">
        <v>0.41199999999999998</v>
      </c>
      <c r="Y122" s="6">
        <v>-0.13755999999999999</v>
      </c>
      <c r="Z122" s="10">
        <v>0.45700000000000002</v>
      </c>
      <c r="AA122" s="6">
        <v>-0.22275</v>
      </c>
      <c r="AB122" s="102">
        <v>570520</v>
      </c>
      <c r="AC122">
        <v>0.35499999999999998</v>
      </c>
      <c r="AD122" s="10">
        <v>193</v>
      </c>
      <c r="AE122">
        <v>136913</v>
      </c>
      <c r="AF122" s="10">
        <v>0.36</v>
      </c>
    </row>
    <row r="123" spans="1:32" ht="16" customHeight="1" x14ac:dyDescent="0.25">
      <c r="A123" s="105" t="s">
        <v>1211</v>
      </c>
      <c r="C123" s="3" t="s">
        <v>778</v>
      </c>
      <c r="D123" s="101">
        <v>42678</v>
      </c>
      <c r="E123" s="3" t="s">
        <v>407</v>
      </c>
      <c r="F123" s="3">
        <v>2.56</v>
      </c>
      <c r="G123" s="3" t="s">
        <v>3</v>
      </c>
      <c r="H123" s="3">
        <v>2.59</v>
      </c>
      <c r="I123" s="2">
        <v>2.59</v>
      </c>
      <c r="J123" s="4">
        <v>2.5</v>
      </c>
      <c r="K123" s="1">
        <v>0.02</v>
      </c>
      <c r="L123" s="6">
        <v>7.9000000000000008E-3</v>
      </c>
      <c r="M123" s="6">
        <v>-0.32629999999999998</v>
      </c>
      <c r="N123" s="6">
        <v>0.65159999999999996</v>
      </c>
      <c r="O123">
        <v>1.55</v>
      </c>
      <c r="P123">
        <v>3.8</v>
      </c>
      <c r="Q123" t="s">
        <v>779</v>
      </c>
      <c r="R123" s="9" t="s">
        <v>3</v>
      </c>
      <c r="S123" s="3" t="s">
        <v>3</v>
      </c>
      <c r="T123" s="3">
        <v>0</v>
      </c>
      <c r="U123" s="3">
        <v>-0.39</v>
      </c>
      <c r="V123" s="3" t="s">
        <v>780</v>
      </c>
      <c r="W123" s="3" t="s">
        <v>3</v>
      </c>
      <c r="X123" s="10">
        <v>2.71</v>
      </c>
      <c r="Y123" s="6">
        <v>-5.6800000000000003E-2</v>
      </c>
      <c r="Z123" s="10">
        <v>2.21</v>
      </c>
      <c r="AA123" s="6">
        <v>0.15679999999999999</v>
      </c>
      <c r="AB123" s="102">
        <v>199734</v>
      </c>
      <c r="AC123">
        <v>2.56</v>
      </c>
      <c r="AD123" s="10">
        <v>2</v>
      </c>
      <c r="AE123">
        <v>36046</v>
      </c>
      <c r="AF123" s="10">
        <v>2.54</v>
      </c>
    </row>
    <row r="124" spans="1:32" ht="16" customHeight="1" x14ac:dyDescent="0.25">
      <c r="A124" s="105" t="s">
        <v>1212</v>
      </c>
      <c r="C124" s="3" t="s">
        <v>781</v>
      </c>
      <c r="D124" s="101">
        <v>42678</v>
      </c>
      <c r="E124" s="3" t="s">
        <v>411</v>
      </c>
      <c r="F124" s="3">
        <v>3.02</v>
      </c>
      <c r="G124" s="3">
        <v>26829000</v>
      </c>
      <c r="H124" s="3">
        <v>3.03</v>
      </c>
      <c r="I124" s="2">
        <v>3.03</v>
      </c>
      <c r="J124" s="4">
        <v>3.02</v>
      </c>
      <c r="K124" s="1">
        <v>-0.01</v>
      </c>
      <c r="L124" s="6">
        <v>-1.6999999999999999E-3</v>
      </c>
      <c r="M124" s="6">
        <v>-0.32890000000000003</v>
      </c>
      <c r="N124" s="6">
        <v>1.4159999999999999</v>
      </c>
      <c r="O124">
        <v>1.25</v>
      </c>
      <c r="P124">
        <v>4.5</v>
      </c>
      <c r="Q124" t="s">
        <v>782</v>
      </c>
      <c r="R124" s="9" t="s">
        <v>3</v>
      </c>
      <c r="S124" s="3" t="s">
        <v>3</v>
      </c>
      <c r="T124" s="3">
        <v>0</v>
      </c>
      <c r="U124" s="3">
        <v>-0.48</v>
      </c>
      <c r="V124" s="3" t="s">
        <v>783</v>
      </c>
      <c r="W124" s="3" t="s">
        <v>3</v>
      </c>
      <c r="X124" s="10">
        <v>2.99</v>
      </c>
      <c r="Y124" s="6">
        <v>1.0500000000000001E-2</v>
      </c>
      <c r="Z124" s="10">
        <v>2.86</v>
      </c>
      <c r="AA124" s="6">
        <v>5.5599999999999997E-2</v>
      </c>
      <c r="AB124" s="102">
        <v>43174</v>
      </c>
      <c r="AC124">
        <v>3.02</v>
      </c>
      <c r="AD124" s="10">
        <v>10925</v>
      </c>
      <c r="AE124">
        <v>12000</v>
      </c>
      <c r="AF124" s="10">
        <v>3.03</v>
      </c>
    </row>
    <row r="125" spans="1:32" ht="16" customHeight="1" x14ac:dyDescent="0.25">
      <c r="A125" s="105" t="s">
        <v>1213</v>
      </c>
      <c r="C125" s="3" t="s">
        <v>784</v>
      </c>
      <c r="D125" s="101">
        <v>42678</v>
      </c>
      <c r="E125" s="3" t="s">
        <v>785</v>
      </c>
      <c r="F125" s="3">
        <v>1.095</v>
      </c>
      <c r="G125" s="3" t="s">
        <v>3</v>
      </c>
      <c r="H125" s="3">
        <v>1.1000000000000001</v>
      </c>
      <c r="I125" s="2">
        <v>1.1000000000000001</v>
      </c>
      <c r="J125" s="4">
        <v>1.0900000000000001</v>
      </c>
      <c r="K125" s="1">
        <v>-5.0000000000000001E-3</v>
      </c>
      <c r="L125" s="6">
        <v>-4.5500000000000002E-3</v>
      </c>
      <c r="M125" s="6">
        <v>-0.13019</v>
      </c>
      <c r="N125" s="6">
        <v>0.15676999999999999</v>
      </c>
      <c r="O125">
        <v>0.94699999999999995</v>
      </c>
      <c r="P125">
        <v>1.2589999999999999</v>
      </c>
      <c r="Q125" t="s">
        <v>786</v>
      </c>
      <c r="R125" s="9" t="s">
        <v>3</v>
      </c>
      <c r="S125" s="3" t="s">
        <v>3</v>
      </c>
      <c r="T125" s="3">
        <v>0</v>
      </c>
      <c r="U125" s="3" t="s">
        <v>3</v>
      </c>
      <c r="V125" s="3">
        <v>0</v>
      </c>
      <c r="W125" s="3" t="s">
        <v>3</v>
      </c>
      <c r="X125" s="10">
        <v>0.999</v>
      </c>
      <c r="Y125" s="6">
        <v>9.6329999999999999E-2</v>
      </c>
      <c r="Z125" s="10">
        <v>0.995</v>
      </c>
      <c r="AA125" s="6">
        <v>0.10038</v>
      </c>
      <c r="AB125" s="102">
        <v>4045</v>
      </c>
      <c r="AC125">
        <v>1.095</v>
      </c>
      <c r="AD125" s="10">
        <v>5422</v>
      </c>
      <c r="AE125">
        <v>270048</v>
      </c>
      <c r="AF125" s="10">
        <v>1.1000000000000001</v>
      </c>
    </row>
    <row r="126" spans="1:32" ht="16" customHeight="1" x14ac:dyDescent="0.25">
      <c r="A126" s="105" t="s">
        <v>1214</v>
      </c>
      <c r="C126" s="3" t="s">
        <v>787</v>
      </c>
      <c r="D126" s="101">
        <v>42678</v>
      </c>
      <c r="E126" s="3" t="s">
        <v>788</v>
      </c>
      <c r="F126" s="3">
        <v>1.165</v>
      </c>
      <c r="G126" s="3">
        <v>89057000</v>
      </c>
      <c r="H126" s="3">
        <v>1.23</v>
      </c>
      <c r="I126" s="2">
        <v>1.2350000000000001</v>
      </c>
      <c r="J126" s="4">
        <v>1.1599999999999999</v>
      </c>
      <c r="K126" s="1">
        <v>-7.0000000000000007E-2</v>
      </c>
      <c r="L126" s="107">
        <v>-5.6680000000000001E-2</v>
      </c>
      <c r="M126" s="107">
        <v>-0.13704</v>
      </c>
      <c r="N126" s="107">
        <v>1.21905</v>
      </c>
      <c r="O126">
        <v>0.52500000000000002</v>
      </c>
      <c r="P126">
        <v>1.35</v>
      </c>
      <c r="Q126" t="s">
        <v>789</v>
      </c>
      <c r="R126" s="9">
        <v>41.606999999999999</v>
      </c>
      <c r="S126" s="3" t="s">
        <v>3</v>
      </c>
      <c r="T126" s="3">
        <v>0</v>
      </c>
      <c r="U126" s="3">
        <v>2.8000000000000001E-2</v>
      </c>
      <c r="V126" s="3" t="s">
        <v>790</v>
      </c>
      <c r="W126" s="3" t="s">
        <v>3</v>
      </c>
      <c r="X126" s="10">
        <v>1.2150000000000001</v>
      </c>
      <c r="Y126" s="6">
        <v>-4.1480000000000003E-2</v>
      </c>
      <c r="Z126" s="10">
        <v>1.0489999999999999</v>
      </c>
      <c r="AA126" s="6">
        <v>0.11022</v>
      </c>
      <c r="AB126" s="102">
        <v>142030</v>
      </c>
      <c r="AC126">
        <v>1.165</v>
      </c>
      <c r="AD126" s="10">
        <v>4000</v>
      </c>
      <c r="AE126">
        <v>197147</v>
      </c>
      <c r="AF126" s="10">
        <v>1.2350000000000001</v>
      </c>
    </row>
    <row r="127" spans="1:32" ht="16" customHeight="1" x14ac:dyDescent="0.25">
      <c r="A127" s="105" t="s">
        <v>1215</v>
      </c>
      <c r="C127" s="3" t="s">
        <v>791</v>
      </c>
      <c r="D127" s="101">
        <v>42678</v>
      </c>
      <c r="E127" s="3" t="s">
        <v>792</v>
      </c>
      <c r="F127" s="3">
        <v>0.83499999999999996</v>
      </c>
      <c r="G127" s="3">
        <v>168949000</v>
      </c>
      <c r="H127" s="3">
        <v>0.83499999999999996</v>
      </c>
      <c r="I127" s="2">
        <v>0.83499999999999996</v>
      </c>
      <c r="J127" s="4">
        <v>0.83499999999999996</v>
      </c>
      <c r="K127" s="1">
        <v>0</v>
      </c>
      <c r="L127" s="6">
        <v>0</v>
      </c>
      <c r="M127" s="6">
        <v>-0.56847999999999999</v>
      </c>
      <c r="N127" s="6">
        <v>0</v>
      </c>
      <c r="O127">
        <v>0.83499999999999996</v>
      </c>
      <c r="P127">
        <v>1.9350000000000001</v>
      </c>
      <c r="Q127" t="s">
        <v>793</v>
      </c>
      <c r="R127" s="9" t="s">
        <v>3</v>
      </c>
      <c r="S127" s="3" t="s">
        <v>3</v>
      </c>
      <c r="T127" s="3">
        <v>7.49</v>
      </c>
      <c r="U127" s="3">
        <v>-4.5999999999999999E-2</v>
      </c>
      <c r="V127" s="3" t="s">
        <v>794</v>
      </c>
      <c r="W127" s="3" t="s">
        <v>3</v>
      </c>
      <c r="X127" s="10">
        <v>0.89100000000000001</v>
      </c>
      <c r="Y127" s="6">
        <v>-6.2939999999999996E-2</v>
      </c>
      <c r="Z127" s="10">
        <v>1.256</v>
      </c>
      <c r="AA127" s="6">
        <v>-0.33500000000000002</v>
      </c>
      <c r="AB127" s="102">
        <v>93219</v>
      </c>
      <c r="AC127">
        <v>0.83499999999999996</v>
      </c>
      <c r="AD127" s="10">
        <v>5500</v>
      </c>
      <c r="AE127">
        <v>5500</v>
      </c>
      <c r="AF127" s="10">
        <v>0.83499999999999996</v>
      </c>
    </row>
    <row r="128" spans="1:32" ht="16" customHeight="1" x14ac:dyDescent="0.25">
      <c r="A128" s="105" t="s">
        <v>1216</v>
      </c>
      <c r="C128" s="3" t="s">
        <v>795</v>
      </c>
      <c r="D128" s="101">
        <v>42678</v>
      </c>
      <c r="E128" s="3" t="s">
        <v>442</v>
      </c>
      <c r="F128" s="3">
        <v>0.18</v>
      </c>
      <c r="G128" s="3">
        <v>589817000</v>
      </c>
      <c r="H128" s="3">
        <v>0.19</v>
      </c>
      <c r="I128" s="2">
        <v>0.19</v>
      </c>
      <c r="J128" s="4">
        <v>0.18</v>
      </c>
      <c r="K128" s="1">
        <v>-0.01</v>
      </c>
      <c r="L128" s="6">
        <v>-5.2600000000000001E-2</v>
      </c>
      <c r="M128" s="6">
        <v>-0.1</v>
      </c>
      <c r="N128" s="6">
        <v>2.2726999999999999</v>
      </c>
      <c r="O128">
        <v>0.05</v>
      </c>
      <c r="P128">
        <v>0.2</v>
      </c>
      <c r="Q128" t="s">
        <v>796</v>
      </c>
      <c r="R128" s="9" t="s">
        <v>3</v>
      </c>
      <c r="S128" s="3" t="s">
        <v>3</v>
      </c>
      <c r="T128" s="3">
        <v>0</v>
      </c>
      <c r="U128" s="3">
        <v>-0.01</v>
      </c>
      <c r="V128" s="3" t="s">
        <v>797</v>
      </c>
      <c r="W128" s="3" t="s">
        <v>3</v>
      </c>
      <c r="X128" s="10">
        <v>0.16</v>
      </c>
      <c r="Y128" s="6">
        <v>0.1017</v>
      </c>
      <c r="Z128" s="10">
        <v>0.14000000000000001</v>
      </c>
      <c r="AA128" s="6">
        <v>0.27960000000000002</v>
      </c>
      <c r="AB128" s="102">
        <v>2729060</v>
      </c>
      <c r="AC128">
        <v>0.18</v>
      </c>
      <c r="AD128" s="10">
        <v>20000</v>
      </c>
      <c r="AE128">
        <v>1394006</v>
      </c>
      <c r="AF128" s="10">
        <v>0.19</v>
      </c>
    </row>
    <row r="129" spans="1:32" ht="16" customHeight="1" x14ac:dyDescent="0.25">
      <c r="A129" s="105" t="s">
        <v>1217</v>
      </c>
      <c r="C129" s="3" t="s">
        <v>798</v>
      </c>
      <c r="D129" s="101">
        <v>42678</v>
      </c>
      <c r="E129" s="3" t="s">
        <v>593</v>
      </c>
      <c r="F129" s="3">
        <v>0.44</v>
      </c>
      <c r="G129" s="3">
        <v>277080000</v>
      </c>
      <c r="H129" s="3">
        <v>0.44</v>
      </c>
      <c r="I129" s="2">
        <v>0.44</v>
      </c>
      <c r="J129" s="4">
        <v>0.44</v>
      </c>
      <c r="K129" s="1">
        <v>0</v>
      </c>
      <c r="L129" s="6">
        <v>1.15E-2</v>
      </c>
      <c r="M129" s="6">
        <v>-0.2</v>
      </c>
      <c r="N129" s="6">
        <v>1.0465</v>
      </c>
      <c r="O129">
        <v>0.22</v>
      </c>
      <c r="P129">
        <v>0.55000000000000004</v>
      </c>
      <c r="Q129" t="s">
        <v>799</v>
      </c>
      <c r="R129" s="9">
        <v>55</v>
      </c>
      <c r="S129" s="3" t="s">
        <v>3</v>
      </c>
      <c r="T129" s="3">
        <v>0</v>
      </c>
      <c r="U129" s="3">
        <v>0.01</v>
      </c>
      <c r="V129" s="3" t="s">
        <v>800</v>
      </c>
      <c r="W129" s="3" t="s">
        <v>3</v>
      </c>
      <c r="X129" s="10">
        <v>0.45</v>
      </c>
      <c r="Y129" s="6">
        <v>-2.81E-2</v>
      </c>
      <c r="Z129" s="10">
        <v>0.38</v>
      </c>
      <c r="AA129" s="6">
        <v>0.1444</v>
      </c>
      <c r="AB129" s="102">
        <v>1882780</v>
      </c>
      <c r="AC129">
        <v>0.44</v>
      </c>
      <c r="AD129" s="10">
        <v>410</v>
      </c>
      <c r="AE129">
        <v>302198</v>
      </c>
      <c r="AF129" s="10">
        <v>0.44</v>
      </c>
    </row>
    <row r="130" spans="1:32" ht="16" customHeight="1" x14ac:dyDescent="0.25">
      <c r="A130" s="105" t="s">
        <v>1218</v>
      </c>
      <c r="C130" s="3" t="s">
        <v>801</v>
      </c>
      <c r="D130" s="101">
        <v>42677</v>
      </c>
      <c r="E130" s="3" t="s">
        <v>788</v>
      </c>
      <c r="F130" s="3">
        <v>1.0149999999999999</v>
      </c>
      <c r="G130" s="3">
        <v>9856000</v>
      </c>
      <c r="H130" s="3">
        <v>1.0149999999999999</v>
      </c>
      <c r="I130" s="2">
        <v>1.0149999999999999</v>
      </c>
      <c r="J130" s="4">
        <v>1.0149999999999999</v>
      </c>
      <c r="K130" s="1">
        <v>0</v>
      </c>
      <c r="L130" s="6">
        <v>0</v>
      </c>
      <c r="M130" s="6">
        <v>-0.11738999999999999</v>
      </c>
      <c r="N130" s="6">
        <v>0</v>
      </c>
      <c r="O130">
        <v>1.0149999999999999</v>
      </c>
      <c r="P130">
        <v>1.1499999999999999</v>
      </c>
      <c r="Q130" t="s">
        <v>802</v>
      </c>
      <c r="R130" s="9">
        <v>14.295999999999999</v>
      </c>
      <c r="S130" s="3" t="s">
        <v>3</v>
      </c>
      <c r="T130" s="3">
        <v>0</v>
      </c>
      <c r="U130" s="3">
        <v>7.0999999999999994E-2</v>
      </c>
      <c r="V130" s="3" t="s">
        <v>803</v>
      </c>
      <c r="W130" s="3" t="s">
        <v>3</v>
      </c>
      <c r="X130" s="10">
        <v>1.0349999999999999</v>
      </c>
      <c r="Y130" s="6">
        <v>-1.9720000000000001E-2</v>
      </c>
      <c r="Z130" s="10">
        <v>1.0349999999999999</v>
      </c>
      <c r="AA130" s="6">
        <v>-1.9720000000000001E-2</v>
      </c>
      <c r="AB130" s="102">
        <v>20693</v>
      </c>
      <c r="AC130">
        <v>1.0149999999999999</v>
      </c>
      <c r="AD130" s="10">
        <v>15370</v>
      </c>
      <c r="AE130">
        <v>17000</v>
      </c>
      <c r="AF130" s="10">
        <v>1.0149999999999999</v>
      </c>
    </row>
    <row r="131" spans="1:32" ht="16" customHeight="1" x14ac:dyDescent="0.25">
      <c r="A131" s="105" t="s">
        <v>1219</v>
      </c>
      <c r="C131" s="3" t="s">
        <v>804</v>
      </c>
      <c r="D131" s="101">
        <v>42669</v>
      </c>
      <c r="E131" s="3" t="s">
        <v>180</v>
      </c>
      <c r="F131" s="3">
        <v>2.4</v>
      </c>
      <c r="G131" s="3">
        <v>7831000</v>
      </c>
      <c r="H131" s="3">
        <v>2.4</v>
      </c>
      <c r="I131" s="2">
        <v>2.4</v>
      </c>
      <c r="J131" s="4">
        <v>2.2999999999999998</v>
      </c>
      <c r="K131" s="1">
        <v>0</v>
      </c>
      <c r="L131" s="6">
        <v>0</v>
      </c>
      <c r="M131" s="6">
        <v>-0.2258</v>
      </c>
      <c r="N131" s="6">
        <v>9.0899999999999995E-2</v>
      </c>
      <c r="O131">
        <v>2.2000000000000002</v>
      </c>
      <c r="P131">
        <v>3.1</v>
      </c>
      <c r="Q131" t="s">
        <v>805</v>
      </c>
      <c r="R131" s="9">
        <v>3.23</v>
      </c>
      <c r="S131" s="3" t="s">
        <v>3</v>
      </c>
      <c r="T131" s="3">
        <v>0</v>
      </c>
      <c r="U131" s="3">
        <v>0.74</v>
      </c>
      <c r="V131" s="3" t="s">
        <v>806</v>
      </c>
      <c r="W131" s="3" t="s">
        <v>3</v>
      </c>
      <c r="X131" s="10">
        <v>2.5</v>
      </c>
      <c r="Y131" s="6">
        <v>-3.9E-2</v>
      </c>
      <c r="Z131" s="10">
        <v>2.35</v>
      </c>
      <c r="AA131" s="6">
        <v>2.1899999999999999E-2</v>
      </c>
      <c r="AB131" s="102">
        <v>2656</v>
      </c>
      <c r="AC131">
        <v>2.4</v>
      </c>
      <c r="AD131" s="10">
        <v>1000</v>
      </c>
      <c r="AE131">
        <v>4500</v>
      </c>
      <c r="AF131" s="10">
        <v>2.4</v>
      </c>
    </row>
    <row r="132" spans="1:32" ht="16" customHeight="1" x14ac:dyDescent="0.25">
      <c r="A132" s="105" t="s">
        <v>1220</v>
      </c>
      <c r="C132" s="3" t="s">
        <v>807</v>
      </c>
      <c r="D132" s="101">
        <v>42678</v>
      </c>
      <c r="E132" s="3" t="s">
        <v>638</v>
      </c>
      <c r="F132" s="3">
        <v>0.32500000000000001</v>
      </c>
      <c r="G132" s="3">
        <v>317180000</v>
      </c>
      <c r="H132" s="3">
        <v>0.32500000000000001</v>
      </c>
      <c r="I132" s="2">
        <v>0.32500000000000001</v>
      </c>
      <c r="J132" s="4">
        <v>0.32500000000000001</v>
      </c>
      <c r="K132" s="1">
        <v>-5.0000000000000001E-3</v>
      </c>
      <c r="L132" s="6">
        <v>-1.515E-2</v>
      </c>
      <c r="M132" s="6">
        <v>-0.12162000000000001</v>
      </c>
      <c r="N132" s="6">
        <v>1.40741</v>
      </c>
      <c r="O132">
        <v>0.13500000000000001</v>
      </c>
      <c r="P132">
        <v>0.37</v>
      </c>
      <c r="Q132" t="s">
        <v>808</v>
      </c>
      <c r="R132" s="9" t="s">
        <v>3</v>
      </c>
      <c r="S132" s="3" t="s">
        <v>3</v>
      </c>
      <c r="T132" s="3">
        <v>0</v>
      </c>
      <c r="U132" s="3">
        <v>-5.0000000000000001E-3</v>
      </c>
      <c r="V132" s="3" t="s">
        <v>809</v>
      </c>
      <c r="W132" s="3" t="s">
        <v>3</v>
      </c>
      <c r="X132" s="10">
        <v>0.313</v>
      </c>
      <c r="Y132" s="6">
        <v>3.9059999999999997E-2</v>
      </c>
      <c r="Z132" s="10">
        <v>0.28399999999999997</v>
      </c>
      <c r="AA132" s="6">
        <v>0.14565</v>
      </c>
      <c r="AB132" s="102">
        <v>444438</v>
      </c>
      <c r="AC132">
        <v>0.32500000000000001</v>
      </c>
      <c r="AD132" s="10">
        <v>7325</v>
      </c>
      <c r="AE132">
        <v>45000</v>
      </c>
      <c r="AF132" s="10">
        <v>0.33</v>
      </c>
    </row>
    <row r="133" spans="1:32" ht="16" customHeight="1" x14ac:dyDescent="0.25">
      <c r="A133" s="105" t="s">
        <v>1221</v>
      </c>
      <c r="C133" s="3" t="s">
        <v>3</v>
      </c>
      <c r="D133" s="101">
        <v>42678</v>
      </c>
      <c r="E133" s="3" t="s">
        <v>504</v>
      </c>
      <c r="F133" s="3">
        <v>1.49</v>
      </c>
      <c r="G133" s="3">
        <v>27020000</v>
      </c>
      <c r="H133" s="3">
        <v>1.49</v>
      </c>
      <c r="I133" s="2">
        <v>1.5</v>
      </c>
      <c r="J133" s="4">
        <v>1.49</v>
      </c>
      <c r="K133" s="1">
        <v>0.01</v>
      </c>
      <c r="L133" s="107">
        <v>6.7999999999999996E-3</v>
      </c>
      <c r="M133" s="6">
        <v>-3.3E-3</v>
      </c>
      <c r="N133" s="6">
        <v>3.3999999999999998E-3</v>
      </c>
      <c r="O133">
        <v>1.49</v>
      </c>
      <c r="P133">
        <v>1.5</v>
      </c>
      <c r="Q133" t="s">
        <v>810</v>
      </c>
      <c r="R133" s="9" t="s">
        <v>3</v>
      </c>
      <c r="S133" s="3" t="s">
        <v>3</v>
      </c>
      <c r="T133" s="3">
        <v>0</v>
      </c>
      <c r="U133" s="3">
        <v>-0.01</v>
      </c>
      <c r="V133" s="3" t="s">
        <v>811</v>
      </c>
      <c r="W133" s="3" t="s">
        <v>3</v>
      </c>
      <c r="X133" s="10">
        <v>0</v>
      </c>
      <c r="Y133" s="6" t="e">
        <f>+inf%</f>
        <v>#NAME?</v>
      </c>
      <c r="Z133" s="10">
        <v>0</v>
      </c>
      <c r="AA133" s="6" t="e">
        <f>+inf%</f>
        <v>#NAME?</v>
      </c>
      <c r="AB133" s="102" t="s">
        <v>3</v>
      </c>
      <c r="AC133">
        <v>1.49</v>
      </c>
      <c r="AD133" s="10">
        <v>663</v>
      </c>
      <c r="AE133">
        <v>34545</v>
      </c>
      <c r="AF133" s="10">
        <v>1.48</v>
      </c>
    </row>
    <row r="134" spans="1:32" ht="16" customHeight="1" x14ac:dyDescent="0.25">
      <c r="A134" s="105" t="s">
        <v>1222</v>
      </c>
      <c r="C134" s="3" t="s">
        <v>812</v>
      </c>
      <c r="D134" s="101">
        <v>42677</v>
      </c>
      <c r="E134" s="3" t="s">
        <v>26</v>
      </c>
      <c r="F134" s="3">
        <v>1.36</v>
      </c>
      <c r="G134" s="3">
        <v>50630000</v>
      </c>
      <c r="H134" s="3">
        <v>1.28</v>
      </c>
      <c r="I134" s="2">
        <v>1.36</v>
      </c>
      <c r="J134" s="4">
        <v>1.28</v>
      </c>
      <c r="K134" s="1">
        <v>0</v>
      </c>
      <c r="L134" s="6">
        <v>0</v>
      </c>
      <c r="M134" s="6">
        <v>-0.42130000000000001</v>
      </c>
      <c r="N134" s="6">
        <v>0.41670000000000001</v>
      </c>
      <c r="O134">
        <v>0.96</v>
      </c>
      <c r="P134">
        <v>2.35</v>
      </c>
      <c r="Q134" t="s">
        <v>813</v>
      </c>
      <c r="R134" s="9">
        <v>17.22</v>
      </c>
      <c r="S134" s="3" t="s">
        <v>3</v>
      </c>
      <c r="T134" s="3">
        <v>0.7</v>
      </c>
      <c r="U134" s="3">
        <v>0.08</v>
      </c>
      <c r="V134" s="3" t="s">
        <v>814</v>
      </c>
      <c r="W134" s="3" t="s">
        <v>3</v>
      </c>
      <c r="X134" s="10">
        <v>1.3</v>
      </c>
      <c r="Y134" s="6">
        <v>4.8099999999999997E-2</v>
      </c>
      <c r="Z134" s="10">
        <v>1.18</v>
      </c>
      <c r="AA134" s="6">
        <v>0.15049999999999999</v>
      </c>
      <c r="AB134" s="102">
        <v>136612</v>
      </c>
      <c r="AC134">
        <v>1.36</v>
      </c>
      <c r="AD134" s="10">
        <v>6</v>
      </c>
      <c r="AE134">
        <v>29667</v>
      </c>
      <c r="AF134" s="10">
        <v>1.36</v>
      </c>
    </row>
    <row r="135" spans="1:32" ht="16" customHeight="1" x14ac:dyDescent="0.25">
      <c r="A135" s="105" t="s">
        <v>1223</v>
      </c>
      <c r="C135" s="3" t="s">
        <v>815</v>
      </c>
      <c r="D135" s="101">
        <v>42678</v>
      </c>
      <c r="E135" s="3" t="s">
        <v>816</v>
      </c>
      <c r="F135" s="3">
        <v>0.79</v>
      </c>
      <c r="G135" s="3">
        <v>44549000</v>
      </c>
      <c r="H135" s="3">
        <v>0.78</v>
      </c>
      <c r="I135" s="2">
        <v>0.79</v>
      </c>
      <c r="J135" s="4">
        <v>0.78</v>
      </c>
      <c r="K135" s="1">
        <v>0.02</v>
      </c>
      <c r="L135" s="6">
        <v>2.5999999999999999E-2</v>
      </c>
      <c r="M135" s="6">
        <v>-9.1999999999999998E-2</v>
      </c>
      <c r="N135" s="6">
        <v>1.7241</v>
      </c>
      <c r="O135">
        <v>0.28999999999999998</v>
      </c>
      <c r="P135">
        <v>0.87</v>
      </c>
      <c r="Q135" t="s">
        <v>817</v>
      </c>
      <c r="R135" s="9">
        <v>41.58</v>
      </c>
      <c r="S135" s="3" t="s">
        <v>3</v>
      </c>
      <c r="T135" s="3">
        <v>0</v>
      </c>
      <c r="U135" s="3">
        <v>0.02</v>
      </c>
      <c r="V135" s="3" t="s">
        <v>818</v>
      </c>
      <c r="W135" s="3" t="s">
        <v>3</v>
      </c>
      <c r="X135" s="10">
        <v>0.67</v>
      </c>
      <c r="Y135" s="6">
        <v>0.18679999999999999</v>
      </c>
      <c r="Z135" s="10">
        <v>0.49</v>
      </c>
      <c r="AA135" s="6">
        <v>0.60850000000000004</v>
      </c>
      <c r="AB135" s="102">
        <v>152954</v>
      </c>
      <c r="AC135">
        <v>0.79</v>
      </c>
      <c r="AD135" s="10">
        <v>12581</v>
      </c>
      <c r="AE135">
        <v>78102</v>
      </c>
      <c r="AF135" s="10">
        <v>0.77</v>
      </c>
    </row>
    <row r="136" spans="1:32" ht="16" customHeight="1" x14ac:dyDescent="0.25">
      <c r="A136" s="105" t="s">
        <v>1224</v>
      </c>
      <c r="C136" s="3" t="s">
        <v>819</v>
      </c>
      <c r="D136" s="101">
        <v>42677</v>
      </c>
      <c r="E136" s="3" t="s">
        <v>820</v>
      </c>
      <c r="F136" s="3">
        <v>17.73</v>
      </c>
      <c r="G136" s="3" t="s">
        <v>3</v>
      </c>
      <c r="H136" s="3">
        <v>17.73</v>
      </c>
      <c r="I136" s="2">
        <v>17.73</v>
      </c>
      <c r="J136" s="4">
        <v>17.73</v>
      </c>
      <c r="K136" s="1">
        <v>0</v>
      </c>
      <c r="L136" s="6">
        <v>0</v>
      </c>
      <c r="M136" s="6">
        <v>-4.7800000000000002E-2</v>
      </c>
      <c r="N136" s="6">
        <v>0.13150000000000001</v>
      </c>
      <c r="O136">
        <v>15.67</v>
      </c>
      <c r="P136">
        <v>18.62</v>
      </c>
      <c r="Q136" t="s">
        <v>3</v>
      </c>
      <c r="R136" s="9" t="s">
        <v>3</v>
      </c>
      <c r="S136" s="3" t="s">
        <v>3</v>
      </c>
      <c r="T136" s="3">
        <v>0</v>
      </c>
      <c r="U136" s="3" t="s">
        <v>3</v>
      </c>
      <c r="V136" s="3" t="s">
        <v>3</v>
      </c>
      <c r="W136" s="3" t="s">
        <v>3</v>
      </c>
      <c r="X136" s="10">
        <v>18.23</v>
      </c>
      <c r="Y136" s="6">
        <v>-2.7300000000000001E-2</v>
      </c>
      <c r="Z136" s="10">
        <v>18.04</v>
      </c>
      <c r="AA136" s="6">
        <v>-1.6899999999999998E-2</v>
      </c>
      <c r="AB136" s="102">
        <v>927</v>
      </c>
      <c r="AC136">
        <v>17.73</v>
      </c>
      <c r="AD136" s="10">
        <v>6</v>
      </c>
      <c r="AE136">
        <v>6</v>
      </c>
      <c r="AF136" s="10">
        <v>17.73</v>
      </c>
    </row>
    <row r="137" spans="1:32" ht="16" customHeight="1" x14ac:dyDescent="0.25">
      <c r="A137" s="105" t="s">
        <v>1225</v>
      </c>
      <c r="C137" s="3" t="s">
        <v>821</v>
      </c>
      <c r="D137" s="101">
        <v>42678</v>
      </c>
      <c r="E137" s="3" t="s">
        <v>822</v>
      </c>
      <c r="F137" s="3">
        <v>1.39</v>
      </c>
      <c r="G137" s="3">
        <v>56149000</v>
      </c>
      <c r="H137" s="3">
        <v>1.39</v>
      </c>
      <c r="I137" s="2">
        <v>1.39</v>
      </c>
      <c r="J137" s="4">
        <v>1.39</v>
      </c>
      <c r="K137" s="1">
        <v>0.04</v>
      </c>
      <c r="L137" s="6">
        <v>2.9600000000000001E-2</v>
      </c>
      <c r="M137" s="6">
        <v>-0.2606</v>
      </c>
      <c r="N137" s="6">
        <v>0.1983</v>
      </c>
      <c r="O137">
        <v>1.1599999999999999</v>
      </c>
      <c r="P137">
        <v>1.88</v>
      </c>
      <c r="Q137" t="s">
        <v>823</v>
      </c>
      <c r="R137" s="9">
        <v>1390</v>
      </c>
      <c r="S137" s="3" t="s">
        <v>3</v>
      </c>
      <c r="T137" s="3">
        <v>0</v>
      </c>
      <c r="U137" s="3">
        <v>0</v>
      </c>
      <c r="V137" s="3" t="s">
        <v>824</v>
      </c>
      <c r="W137" s="3" t="s">
        <v>3</v>
      </c>
      <c r="X137" s="10">
        <v>1.59</v>
      </c>
      <c r="Y137" s="6">
        <v>-0.12330000000000001</v>
      </c>
      <c r="Z137" s="10">
        <v>1.53</v>
      </c>
      <c r="AA137" s="6">
        <v>-9.1499999999999998E-2</v>
      </c>
      <c r="AB137" s="102">
        <v>68610</v>
      </c>
      <c r="AC137">
        <v>1.39</v>
      </c>
      <c r="AD137" s="10">
        <v>725</v>
      </c>
      <c r="AE137">
        <v>725</v>
      </c>
      <c r="AF137" s="10">
        <v>1.35</v>
      </c>
    </row>
    <row r="138" spans="1:32" ht="16" customHeight="1" x14ac:dyDescent="0.25">
      <c r="A138" s="105" t="s">
        <v>1226</v>
      </c>
      <c r="C138" s="3" t="s">
        <v>825</v>
      </c>
      <c r="D138" s="101">
        <v>42678</v>
      </c>
      <c r="E138" s="3" t="s">
        <v>442</v>
      </c>
      <c r="F138" s="3">
        <v>0.57499999999999996</v>
      </c>
      <c r="G138" s="3">
        <v>170319000</v>
      </c>
      <c r="H138" s="3">
        <v>0.59499999999999997</v>
      </c>
      <c r="I138" s="2">
        <v>0.59499999999999997</v>
      </c>
      <c r="J138" s="4">
        <v>0.56499999999999995</v>
      </c>
      <c r="K138" s="1">
        <v>-0.01</v>
      </c>
      <c r="L138" s="6">
        <v>-1.7090000000000001E-2</v>
      </c>
      <c r="M138" s="6">
        <v>-0.21768999999999999</v>
      </c>
      <c r="N138" s="6">
        <v>3.4230800000000001</v>
      </c>
      <c r="O138">
        <v>0.13</v>
      </c>
      <c r="P138">
        <v>0.73499999999999999</v>
      </c>
      <c r="Q138" t="s">
        <v>826</v>
      </c>
      <c r="R138" s="9" t="s">
        <v>3</v>
      </c>
      <c r="S138" s="3" t="s">
        <v>3</v>
      </c>
      <c r="T138" s="3">
        <v>0</v>
      </c>
      <c r="U138" s="3">
        <v>-0.29399999999999998</v>
      </c>
      <c r="V138" s="3" t="s">
        <v>827</v>
      </c>
      <c r="W138" s="3" t="s">
        <v>3</v>
      </c>
      <c r="X138" s="10">
        <v>0.56499999999999995</v>
      </c>
      <c r="Y138" s="6">
        <v>1.712E-2</v>
      </c>
      <c r="Z138" s="10">
        <v>0.34599999999999997</v>
      </c>
      <c r="AA138" s="6">
        <v>0.65969</v>
      </c>
      <c r="AB138" s="102">
        <v>732960</v>
      </c>
      <c r="AC138">
        <v>0.57499999999999996</v>
      </c>
      <c r="AD138" s="10">
        <v>667</v>
      </c>
      <c r="AE138">
        <v>122668</v>
      </c>
      <c r="AF138" s="10">
        <v>0.58499999999999996</v>
      </c>
    </row>
    <row r="139" spans="1:32" ht="16" customHeight="1" x14ac:dyDescent="0.25">
      <c r="A139" s="105" t="s">
        <v>1227</v>
      </c>
      <c r="C139" s="3" t="s">
        <v>828</v>
      </c>
      <c r="D139" s="101">
        <v>42678</v>
      </c>
      <c r="E139" s="3" t="s">
        <v>829</v>
      </c>
      <c r="F139" s="3">
        <v>5.6000000000000001E-2</v>
      </c>
      <c r="G139" s="3">
        <v>1260663000</v>
      </c>
      <c r="H139" s="3">
        <v>5.7000000000000002E-2</v>
      </c>
      <c r="I139" s="2">
        <v>5.7000000000000002E-2</v>
      </c>
      <c r="J139" s="4">
        <v>5.6000000000000001E-2</v>
      </c>
      <c r="K139" s="1">
        <v>1E-3</v>
      </c>
      <c r="L139" s="6">
        <v>1.8180000000000002E-2</v>
      </c>
      <c r="M139" s="6">
        <v>-0.33333000000000002</v>
      </c>
      <c r="N139" s="6">
        <v>0.16667000000000001</v>
      </c>
      <c r="O139">
        <v>4.8000000000000001E-2</v>
      </c>
      <c r="P139">
        <v>8.4000000000000005E-2</v>
      </c>
      <c r="Q139" t="s">
        <v>830</v>
      </c>
      <c r="R139" s="9" t="s">
        <v>3</v>
      </c>
      <c r="S139" s="3" t="s">
        <v>3</v>
      </c>
      <c r="T139" s="3">
        <v>0</v>
      </c>
      <c r="U139" s="3">
        <v>-1E-3</v>
      </c>
      <c r="V139" s="3" t="s">
        <v>831</v>
      </c>
      <c r="W139" s="3" t="s">
        <v>3</v>
      </c>
      <c r="X139" s="10">
        <v>5.5E-2</v>
      </c>
      <c r="Y139" s="6">
        <v>1.0240000000000001E-2</v>
      </c>
      <c r="Z139" s="10">
        <v>5.8999999999999997E-2</v>
      </c>
      <c r="AA139" s="6">
        <v>-5.04E-2</v>
      </c>
      <c r="AB139" s="102">
        <v>1262730</v>
      </c>
      <c r="AC139">
        <v>5.6000000000000001E-2</v>
      </c>
      <c r="AD139" s="10">
        <v>272</v>
      </c>
      <c r="AE139">
        <v>494740</v>
      </c>
      <c r="AF139" s="10">
        <v>5.5E-2</v>
      </c>
    </row>
    <row r="140" spans="1:32" ht="16" customHeight="1" x14ac:dyDescent="0.25">
      <c r="A140" s="105" t="s">
        <v>1228</v>
      </c>
      <c r="C140" s="3" t="s">
        <v>832</v>
      </c>
      <c r="D140" s="101">
        <v>42678</v>
      </c>
      <c r="E140" s="3" t="s">
        <v>788</v>
      </c>
      <c r="F140" s="3">
        <v>0.82</v>
      </c>
      <c r="G140" s="3">
        <v>116996000</v>
      </c>
      <c r="H140" s="3">
        <v>0.82</v>
      </c>
      <c r="I140" s="2">
        <v>0.82</v>
      </c>
      <c r="J140" s="4">
        <v>0.82</v>
      </c>
      <c r="K140" s="1">
        <v>0</v>
      </c>
      <c r="L140" s="6">
        <v>0</v>
      </c>
      <c r="M140" s="6">
        <v>-8.8900000000000007E-2</v>
      </c>
      <c r="N140" s="6">
        <v>0.54720000000000002</v>
      </c>
      <c r="O140">
        <v>0.53</v>
      </c>
      <c r="P140">
        <v>0.9</v>
      </c>
      <c r="Q140" t="s">
        <v>833</v>
      </c>
      <c r="R140" s="9">
        <v>14.64</v>
      </c>
      <c r="S140" s="3" t="s">
        <v>3</v>
      </c>
      <c r="T140" s="3">
        <v>0</v>
      </c>
      <c r="U140" s="3">
        <v>0.06</v>
      </c>
      <c r="V140" s="3" t="s">
        <v>834</v>
      </c>
      <c r="W140" s="3" t="s">
        <v>3</v>
      </c>
      <c r="X140" s="10">
        <v>0.82</v>
      </c>
      <c r="Y140" s="6">
        <v>-4.3E-3</v>
      </c>
      <c r="Z140" s="10">
        <v>0.73</v>
      </c>
      <c r="AA140" s="6">
        <v>0.1187</v>
      </c>
      <c r="AB140" s="102">
        <v>340852</v>
      </c>
      <c r="AC140">
        <v>0.82</v>
      </c>
      <c r="AD140" s="10">
        <v>4341</v>
      </c>
      <c r="AE140">
        <v>120119</v>
      </c>
      <c r="AF140" s="10">
        <v>0.82</v>
      </c>
    </row>
    <row r="141" spans="1:32" ht="16" customHeight="1" x14ac:dyDescent="0.25">
      <c r="A141" s="105" t="s">
        <v>1229</v>
      </c>
      <c r="C141" s="3" t="s">
        <v>835</v>
      </c>
      <c r="D141" s="101">
        <v>42677</v>
      </c>
      <c r="E141" s="3" t="s">
        <v>26</v>
      </c>
      <c r="F141" s="3">
        <v>0.34499999999999997</v>
      </c>
      <c r="G141" s="3">
        <v>101573000</v>
      </c>
      <c r="H141" s="3">
        <v>0.35</v>
      </c>
      <c r="I141" s="2">
        <v>0.35499999999999998</v>
      </c>
      <c r="J141" s="4">
        <v>0.34499999999999997</v>
      </c>
      <c r="K141" s="1">
        <v>0</v>
      </c>
      <c r="L141" s="6">
        <v>0</v>
      </c>
      <c r="M141" s="6">
        <v>-0.42499999999999999</v>
      </c>
      <c r="N141" s="6">
        <v>1.37931</v>
      </c>
      <c r="O141">
        <v>0.14499999999999999</v>
      </c>
      <c r="P141">
        <v>0.6</v>
      </c>
      <c r="Q141" t="s">
        <v>836</v>
      </c>
      <c r="R141" s="9" t="s">
        <v>3</v>
      </c>
      <c r="S141" s="3" t="s">
        <v>3</v>
      </c>
      <c r="T141" s="3">
        <v>0</v>
      </c>
      <c r="U141" s="3">
        <v>-6.7000000000000004E-2</v>
      </c>
      <c r="V141" s="3" t="s">
        <v>837</v>
      </c>
      <c r="W141" s="3" t="s">
        <v>3</v>
      </c>
      <c r="X141" s="10">
        <v>0.39800000000000002</v>
      </c>
      <c r="Y141" s="6">
        <v>-0.13222</v>
      </c>
      <c r="Z141" s="10">
        <v>0.26400000000000001</v>
      </c>
      <c r="AA141" s="6">
        <v>0.30496000000000001</v>
      </c>
      <c r="AB141" s="102">
        <v>138252</v>
      </c>
      <c r="AC141">
        <v>0.34499999999999997</v>
      </c>
      <c r="AD141" s="10">
        <v>6567</v>
      </c>
      <c r="AE141">
        <v>94040</v>
      </c>
      <c r="AF141" s="10">
        <v>0.34499999999999997</v>
      </c>
    </row>
    <row r="142" spans="1:32" ht="16" customHeight="1" x14ac:dyDescent="0.25">
      <c r="A142" s="105" t="s">
        <v>1230</v>
      </c>
      <c r="C142" s="3" t="s">
        <v>838</v>
      </c>
      <c r="D142" s="101">
        <v>42678</v>
      </c>
      <c r="E142" s="3" t="s">
        <v>411</v>
      </c>
      <c r="F142" s="3">
        <v>0.25</v>
      </c>
      <c r="G142" s="3">
        <v>334184000</v>
      </c>
      <c r="H142" s="3">
        <v>0.27</v>
      </c>
      <c r="I142" s="2">
        <v>0.27</v>
      </c>
      <c r="J142" s="4">
        <v>0.25</v>
      </c>
      <c r="K142" s="1">
        <v>-0.03</v>
      </c>
      <c r="L142" s="6">
        <v>-9.0899999999999995E-2</v>
      </c>
      <c r="M142" s="6">
        <v>-0.54949999999999999</v>
      </c>
      <c r="N142" s="6">
        <v>0.78569999999999995</v>
      </c>
      <c r="O142">
        <v>0.14000000000000001</v>
      </c>
      <c r="P142">
        <v>0.56000000000000005</v>
      </c>
      <c r="Q142" t="s">
        <v>839</v>
      </c>
      <c r="R142" s="9" t="s">
        <v>3</v>
      </c>
      <c r="S142" s="3" t="s">
        <v>3</v>
      </c>
      <c r="T142" s="3">
        <v>0</v>
      </c>
      <c r="U142" s="3">
        <v>-0.08</v>
      </c>
      <c r="V142" s="3" t="s">
        <v>840</v>
      </c>
      <c r="W142" s="3" t="s">
        <v>3</v>
      </c>
      <c r="X142" s="10">
        <v>0.35</v>
      </c>
      <c r="Y142" s="6">
        <v>-0.28849999999999998</v>
      </c>
      <c r="Z142" s="10">
        <v>0.38</v>
      </c>
      <c r="AA142" s="6">
        <v>-0.34749999999999998</v>
      </c>
      <c r="AB142" s="102">
        <v>673966</v>
      </c>
      <c r="AC142">
        <v>0.25</v>
      </c>
      <c r="AD142" s="10">
        <v>5000</v>
      </c>
      <c r="AE142">
        <v>417469</v>
      </c>
      <c r="AF142" s="10">
        <v>0.28000000000000003</v>
      </c>
    </row>
    <row r="143" spans="1:32" ht="16" customHeight="1" x14ac:dyDescent="0.25">
      <c r="A143" s="105" t="s">
        <v>1231</v>
      </c>
      <c r="C143" s="3" t="s">
        <v>841</v>
      </c>
      <c r="D143" s="101">
        <v>42660</v>
      </c>
      <c r="E143" s="3" t="s">
        <v>494</v>
      </c>
      <c r="F143" s="3">
        <v>0.22</v>
      </c>
      <c r="G143" s="3">
        <v>160649000</v>
      </c>
      <c r="H143" s="3">
        <v>0.22</v>
      </c>
      <c r="I143" s="2">
        <v>0.22</v>
      </c>
      <c r="J143" s="4">
        <v>0.22</v>
      </c>
      <c r="K143" s="1">
        <v>0</v>
      </c>
      <c r="L143" s="6">
        <v>0</v>
      </c>
      <c r="M143" s="6">
        <v>-0.35289999999999999</v>
      </c>
      <c r="N143" s="6">
        <v>1.2</v>
      </c>
      <c r="O143">
        <v>0.1</v>
      </c>
      <c r="P143">
        <v>0.34</v>
      </c>
      <c r="Q143" t="s">
        <v>842</v>
      </c>
      <c r="R143" s="9" t="s">
        <v>3</v>
      </c>
      <c r="S143" s="3" t="s">
        <v>3</v>
      </c>
      <c r="T143" s="3">
        <v>0</v>
      </c>
      <c r="U143" s="3">
        <v>-0.03</v>
      </c>
      <c r="V143" s="3" t="s">
        <v>843</v>
      </c>
      <c r="W143" s="3" t="s">
        <v>3</v>
      </c>
      <c r="X143" s="10">
        <v>0.23</v>
      </c>
      <c r="Y143" s="6">
        <v>-4.5699999999999998E-2</v>
      </c>
      <c r="Z143" s="10">
        <v>0.26</v>
      </c>
      <c r="AA143" s="6">
        <v>-0.14630000000000001</v>
      </c>
      <c r="AB143" s="102">
        <v>3857</v>
      </c>
      <c r="AC143">
        <v>0.22</v>
      </c>
      <c r="AD143" s="10">
        <v>20000</v>
      </c>
      <c r="AE143">
        <v>20000</v>
      </c>
      <c r="AF143" s="10">
        <v>0.22</v>
      </c>
    </row>
    <row r="144" spans="1:32" ht="16" customHeight="1" x14ac:dyDescent="0.25">
      <c r="A144" s="105" t="s">
        <v>1232</v>
      </c>
      <c r="C144" s="3" t="s">
        <v>844</v>
      </c>
      <c r="D144" s="101">
        <v>42677</v>
      </c>
      <c r="E144" s="3" t="s">
        <v>845</v>
      </c>
      <c r="F144" s="3">
        <v>2.2000000000000002</v>
      </c>
      <c r="G144" s="3">
        <v>6118000</v>
      </c>
      <c r="H144" s="3">
        <v>2.2000000000000002</v>
      </c>
      <c r="I144" s="2">
        <v>2.2000000000000002</v>
      </c>
      <c r="J144" s="4">
        <v>2.2000000000000002</v>
      </c>
      <c r="K144" s="1">
        <v>0</v>
      </c>
      <c r="L144" s="6">
        <v>0</v>
      </c>
      <c r="M144" s="6">
        <v>-0.2414</v>
      </c>
      <c r="N144" s="6">
        <v>0.91300000000000003</v>
      </c>
      <c r="O144">
        <v>1.1499999999999999</v>
      </c>
      <c r="P144">
        <v>2.9</v>
      </c>
      <c r="Q144" t="s">
        <v>846</v>
      </c>
      <c r="R144" s="9">
        <v>8.66</v>
      </c>
      <c r="S144" s="3" t="s">
        <v>3</v>
      </c>
      <c r="T144" s="3">
        <v>0</v>
      </c>
      <c r="U144" s="3">
        <v>0.25</v>
      </c>
      <c r="V144" s="3" t="s">
        <v>847</v>
      </c>
      <c r="W144" s="3" t="s">
        <v>3</v>
      </c>
      <c r="X144" s="10">
        <v>2.4700000000000002</v>
      </c>
      <c r="Y144" s="6">
        <v>-0.1111</v>
      </c>
      <c r="Z144" s="10">
        <v>2.52</v>
      </c>
      <c r="AA144" s="6">
        <v>-0.1265</v>
      </c>
      <c r="AB144" s="102">
        <v>374</v>
      </c>
      <c r="AC144">
        <v>2.2000000000000002</v>
      </c>
      <c r="AD144" s="10">
        <v>500</v>
      </c>
      <c r="AE144">
        <v>500</v>
      </c>
      <c r="AF144" s="10">
        <v>2.2000000000000002</v>
      </c>
    </row>
    <row r="145" spans="1:32" ht="16" customHeight="1" x14ac:dyDescent="0.25">
      <c r="A145" s="105" t="s">
        <v>1233</v>
      </c>
      <c r="C145" s="3" t="s">
        <v>848</v>
      </c>
      <c r="D145" s="101">
        <v>42676</v>
      </c>
      <c r="E145" s="3" t="s">
        <v>501</v>
      </c>
      <c r="F145" s="3">
        <v>0.89500000000000002</v>
      </c>
      <c r="G145" s="3">
        <v>115037000</v>
      </c>
      <c r="H145" s="3">
        <v>0.89500000000000002</v>
      </c>
      <c r="I145" s="2">
        <v>0.91</v>
      </c>
      <c r="J145" s="4">
        <v>0.89500000000000002</v>
      </c>
      <c r="K145" s="1">
        <v>0</v>
      </c>
      <c r="L145" s="6">
        <v>0</v>
      </c>
      <c r="M145" s="6">
        <v>-0.12255000000000001</v>
      </c>
      <c r="N145" s="6">
        <v>0.13291</v>
      </c>
      <c r="O145">
        <v>0.79</v>
      </c>
      <c r="P145">
        <v>1.02</v>
      </c>
      <c r="Q145" t="s">
        <v>849</v>
      </c>
      <c r="R145" s="9">
        <v>24.189</v>
      </c>
      <c r="S145" s="3" t="s">
        <v>3</v>
      </c>
      <c r="T145" s="3">
        <v>15.68</v>
      </c>
      <c r="U145" s="3">
        <v>3.6999999999999998E-2</v>
      </c>
      <c r="V145" s="3" t="s">
        <v>850</v>
      </c>
      <c r="W145" s="3" t="s">
        <v>3</v>
      </c>
      <c r="X145" s="10">
        <v>0.94799999999999995</v>
      </c>
      <c r="Y145" s="6">
        <v>-5.6009999999999997E-2</v>
      </c>
      <c r="Z145" s="10">
        <v>0.91</v>
      </c>
      <c r="AA145" s="6">
        <v>-1.618E-2</v>
      </c>
      <c r="AB145" s="102">
        <v>234716</v>
      </c>
      <c r="AC145">
        <v>0.89500000000000002</v>
      </c>
      <c r="AD145" s="10">
        <v>9948</v>
      </c>
      <c r="AE145">
        <v>181953</v>
      </c>
      <c r="AF145" s="10">
        <v>0.89500000000000002</v>
      </c>
    </row>
    <row r="146" spans="1:32" ht="16" customHeight="1" x14ac:dyDescent="0.25">
      <c r="A146" s="105" t="s">
        <v>1234</v>
      </c>
      <c r="C146" s="3" t="s">
        <v>851</v>
      </c>
      <c r="D146" s="101">
        <v>42678</v>
      </c>
      <c r="E146" s="3" t="s">
        <v>852</v>
      </c>
      <c r="F146" s="3">
        <v>23.08</v>
      </c>
      <c r="G146" s="3" t="s">
        <v>3</v>
      </c>
      <c r="H146" s="3">
        <v>23.1</v>
      </c>
      <c r="I146" s="2">
        <v>23.1</v>
      </c>
      <c r="J146" s="4">
        <v>23.05</v>
      </c>
      <c r="K146" s="1">
        <v>-7.0000000000000007E-2</v>
      </c>
      <c r="L146" s="6">
        <v>-3.0000000000000001E-3</v>
      </c>
      <c r="M146" s="6">
        <v>-8.2299999999999998E-2</v>
      </c>
      <c r="N146" s="6">
        <v>0.18479999999999999</v>
      </c>
      <c r="O146">
        <v>19.48</v>
      </c>
      <c r="P146">
        <v>25.15</v>
      </c>
      <c r="Q146" t="s">
        <v>3</v>
      </c>
      <c r="R146" s="9" t="s">
        <v>3</v>
      </c>
      <c r="S146" s="3" t="s">
        <v>3</v>
      </c>
      <c r="T146" s="3">
        <v>0</v>
      </c>
      <c r="U146" s="3" t="s">
        <v>3</v>
      </c>
      <c r="V146" s="3" t="s">
        <v>3</v>
      </c>
      <c r="W146" s="3" t="s">
        <v>3</v>
      </c>
      <c r="X146" s="10">
        <v>24.08</v>
      </c>
      <c r="Y146" s="6">
        <v>-4.1700000000000001E-2</v>
      </c>
      <c r="Z146" s="10">
        <v>23.92</v>
      </c>
      <c r="AA146" s="6">
        <v>-3.5099999999999999E-2</v>
      </c>
      <c r="AB146" s="102">
        <v>19347</v>
      </c>
      <c r="AC146">
        <v>23.08</v>
      </c>
      <c r="AD146" s="10">
        <v>516</v>
      </c>
      <c r="AE146">
        <v>16171</v>
      </c>
      <c r="AF146" s="10">
        <v>23.15</v>
      </c>
    </row>
    <row r="147" spans="1:32" ht="16" customHeight="1" x14ac:dyDescent="0.25">
      <c r="A147" s="105" t="s">
        <v>1235</v>
      </c>
      <c r="C147" s="3" t="s">
        <v>853</v>
      </c>
      <c r="D147" s="101">
        <v>42678</v>
      </c>
      <c r="E147" s="3" t="s">
        <v>411</v>
      </c>
      <c r="F147" s="3">
        <v>0.64700000000000002</v>
      </c>
      <c r="G147" s="3">
        <v>194944000</v>
      </c>
      <c r="H147" s="3">
        <v>0.64</v>
      </c>
      <c r="I147" s="2">
        <v>0.65</v>
      </c>
      <c r="J147" s="4">
        <v>0.63500000000000001</v>
      </c>
      <c r="K147" s="1">
        <v>1.2E-2</v>
      </c>
      <c r="L147" s="6">
        <v>1.89E-2</v>
      </c>
      <c r="M147" s="6">
        <v>-0.29289999999999999</v>
      </c>
      <c r="N147" s="6">
        <v>0.99077000000000004</v>
      </c>
      <c r="O147">
        <v>0.32500000000000001</v>
      </c>
      <c r="P147">
        <v>0.91500000000000004</v>
      </c>
      <c r="Q147" t="s">
        <v>854</v>
      </c>
      <c r="R147" s="9">
        <v>3.1259999999999999</v>
      </c>
      <c r="S147" s="3" t="s">
        <v>3</v>
      </c>
      <c r="T147" s="3">
        <v>-0.43</v>
      </c>
      <c r="U147" s="3">
        <v>0.20699999999999999</v>
      </c>
      <c r="V147" s="3" t="s">
        <v>855</v>
      </c>
      <c r="W147" s="3" t="s">
        <v>3</v>
      </c>
      <c r="X147" s="10">
        <v>0.67</v>
      </c>
      <c r="Y147" s="6">
        <v>-3.4520000000000002E-2</v>
      </c>
      <c r="Z147" s="10">
        <v>0.69899999999999995</v>
      </c>
      <c r="AA147" s="6">
        <v>-7.4700000000000003E-2</v>
      </c>
      <c r="AB147" s="102">
        <v>534896</v>
      </c>
      <c r="AC147">
        <v>0.64700000000000002</v>
      </c>
      <c r="AD147" s="10">
        <v>1078</v>
      </c>
      <c r="AE147">
        <v>192479</v>
      </c>
      <c r="AF147" s="10">
        <v>0.63500000000000001</v>
      </c>
    </row>
    <row r="148" spans="1:32" ht="16" customHeight="1" x14ac:dyDescent="0.25">
      <c r="A148" s="105" t="s">
        <v>1236</v>
      </c>
      <c r="C148" s="3" t="s">
        <v>3</v>
      </c>
      <c r="D148" s="101">
        <v>42678</v>
      </c>
      <c r="E148" s="3" t="s">
        <v>706</v>
      </c>
      <c r="F148" s="3">
        <v>1.0449999999999999</v>
      </c>
      <c r="G148" s="3">
        <v>90235000</v>
      </c>
      <c r="H148" s="3">
        <v>1.0449999999999999</v>
      </c>
      <c r="I148" s="2">
        <v>1.0449999999999999</v>
      </c>
      <c r="J148" s="4">
        <v>1.0449999999999999</v>
      </c>
      <c r="K148" s="1">
        <v>0</v>
      </c>
      <c r="L148" s="6">
        <v>0</v>
      </c>
      <c r="M148" s="6">
        <v>0</v>
      </c>
      <c r="N148" s="6">
        <v>0</v>
      </c>
      <c r="O148">
        <v>1.0449999999999999</v>
      </c>
      <c r="P148">
        <v>1.0449999999999999</v>
      </c>
      <c r="Q148" t="s">
        <v>856</v>
      </c>
      <c r="R148" s="9">
        <v>22.716999999999999</v>
      </c>
      <c r="S148" s="3" t="s">
        <v>3</v>
      </c>
      <c r="T148" s="3">
        <v>0</v>
      </c>
      <c r="U148" s="3">
        <v>4.5999999999999999E-2</v>
      </c>
      <c r="V148" s="3" t="s">
        <v>857</v>
      </c>
      <c r="W148" s="3" t="s">
        <v>3</v>
      </c>
      <c r="X148" s="10">
        <v>0</v>
      </c>
      <c r="Y148" s="6" t="e">
        <f>+inf%</f>
        <v>#NAME?</v>
      </c>
      <c r="Z148" s="10">
        <v>0</v>
      </c>
      <c r="AA148" s="6" t="e">
        <f>+inf%</f>
        <v>#NAME?</v>
      </c>
      <c r="AB148" s="102" t="s">
        <v>3</v>
      </c>
      <c r="AC148">
        <v>1.0449999999999999</v>
      </c>
      <c r="AD148" s="10">
        <v>277</v>
      </c>
      <c r="AE148">
        <v>21000</v>
      </c>
      <c r="AF148" s="10">
        <v>1.0449999999999999</v>
      </c>
    </row>
    <row r="149" spans="1:32" ht="16" customHeight="1" x14ac:dyDescent="0.25">
      <c r="A149" s="105" t="s">
        <v>1237</v>
      </c>
      <c r="C149" s="3" t="s">
        <v>858</v>
      </c>
      <c r="D149" s="101">
        <v>42678</v>
      </c>
      <c r="E149" s="3" t="s">
        <v>859</v>
      </c>
      <c r="F149" s="3">
        <v>1.72</v>
      </c>
      <c r="G149" s="3">
        <v>18661000</v>
      </c>
      <c r="H149" s="3">
        <v>1.68</v>
      </c>
      <c r="I149" s="2">
        <v>1.72</v>
      </c>
      <c r="J149" s="4">
        <v>1.68</v>
      </c>
      <c r="K149" s="1">
        <v>0.04</v>
      </c>
      <c r="L149" s="6">
        <v>2.3800000000000002E-2</v>
      </c>
      <c r="M149" s="6">
        <v>-8.9899999999999994E-2</v>
      </c>
      <c r="N149" s="6">
        <v>1.5267999999999999</v>
      </c>
      <c r="O149">
        <v>0.68</v>
      </c>
      <c r="P149">
        <v>1.89</v>
      </c>
      <c r="Q149" t="s">
        <v>860</v>
      </c>
      <c r="R149" s="9">
        <v>28.2</v>
      </c>
      <c r="S149" s="3" t="s">
        <v>3</v>
      </c>
      <c r="T149" s="3">
        <v>0</v>
      </c>
      <c r="U149" s="3">
        <v>0.06</v>
      </c>
      <c r="V149" s="3" t="s">
        <v>861</v>
      </c>
      <c r="W149" s="3" t="s">
        <v>3</v>
      </c>
      <c r="X149" s="10">
        <v>1.71</v>
      </c>
      <c r="Y149" s="6">
        <v>5.7999999999999996E-3</v>
      </c>
      <c r="Z149" s="10">
        <v>1.25</v>
      </c>
      <c r="AA149" s="6">
        <v>0.37159999999999999</v>
      </c>
      <c r="AB149" s="102">
        <v>107742</v>
      </c>
      <c r="AC149">
        <v>1.72</v>
      </c>
      <c r="AD149" s="10">
        <v>13000</v>
      </c>
      <c r="AE149">
        <v>35000</v>
      </c>
      <c r="AF149" s="10">
        <v>1.68</v>
      </c>
    </row>
    <row r="150" spans="1:32" ht="16" customHeight="1" x14ac:dyDescent="0.25">
      <c r="A150" s="105" t="s">
        <v>1238</v>
      </c>
      <c r="C150" s="3" t="s">
        <v>862</v>
      </c>
      <c r="D150" s="101">
        <v>42678</v>
      </c>
      <c r="E150" s="3" t="s">
        <v>658</v>
      </c>
      <c r="F150" s="3">
        <v>0.12</v>
      </c>
      <c r="G150" s="3">
        <v>659007000</v>
      </c>
      <c r="H150" s="3">
        <v>0.12</v>
      </c>
      <c r="I150" s="2">
        <v>0.12</v>
      </c>
      <c r="J150" s="4">
        <v>0.12</v>
      </c>
      <c r="K150" s="1">
        <v>0</v>
      </c>
      <c r="L150" s="6">
        <v>0</v>
      </c>
      <c r="M150" s="6">
        <v>-0.3846</v>
      </c>
      <c r="N150" s="6">
        <v>0.37930000000000003</v>
      </c>
      <c r="O150">
        <v>0.09</v>
      </c>
      <c r="P150">
        <v>0.19</v>
      </c>
      <c r="Q150" t="s">
        <v>863</v>
      </c>
      <c r="R150" s="9">
        <v>24</v>
      </c>
      <c r="S150" s="3" t="s">
        <v>3</v>
      </c>
      <c r="T150" s="3">
        <v>0</v>
      </c>
      <c r="U150" s="3">
        <v>0</v>
      </c>
      <c r="V150" s="3" t="s">
        <v>864</v>
      </c>
      <c r="W150" s="3" t="s">
        <v>3</v>
      </c>
      <c r="X150" s="10">
        <v>0.12</v>
      </c>
      <c r="Y150" s="6">
        <v>2.35E-2</v>
      </c>
      <c r="Z150" s="10">
        <v>0.11</v>
      </c>
      <c r="AA150" s="6">
        <v>5.3100000000000001E-2</v>
      </c>
      <c r="AB150" s="102">
        <v>1745780</v>
      </c>
      <c r="AC150">
        <v>0.12</v>
      </c>
      <c r="AD150" s="10">
        <v>84725</v>
      </c>
      <c r="AE150">
        <v>427053</v>
      </c>
      <c r="AF150" s="10">
        <v>0.12</v>
      </c>
    </row>
    <row r="151" spans="1:32" ht="16" customHeight="1" x14ac:dyDescent="0.25">
      <c r="A151" s="105" t="s">
        <v>1239</v>
      </c>
      <c r="C151" s="3" t="s">
        <v>865</v>
      </c>
      <c r="D151" s="101">
        <v>42678</v>
      </c>
      <c r="E151" s="3" t="s">
        <v>506</v>
      </c>
      <c r="F151" s="3">
        <v>0.95</v>
      </c>
      <c r="G151" s="3">
        <v>91577000</v>
      </c>
      <c r="H151" s="3">
        <v>0.95</v>
      </c>
      <c r="I151" s="2">
        <v>0.95</v>
      </c>
      <c r="J151" s="4">
        <v>0.95</v>
      </c>
      <c r="K151" s="1">
        <v>0</v>
      </c>
      <c r="L151" s="6">
        <v>0</v>
      </c>
      <c r="M151" s="6">
        <v>-0.42770000000000002</v>
      </c>
      <c r="N151" s="6">
        <v>0.33800000000000002</v>
      </c>
      <c r="O151" s="6">
        <v>0.71</v>
      </c>
      <c r="P151">
        <v>1.66</v>
      </c>
      <c r="Q151" t="s">
        <v>866</v>
      </c>
      <c r="R151" s="9" t="s">
        <v>3</v>
      </c>
      <c r="S151" s="3" t="s">
        <v>3</v>
      </c>
      <c r="T151" s="3">
        <v>0.1</v>
      </c>
      <c r="U151" s="3">
        <v>0</v>
      </c>
      <c r="V151" s="3" t="s">
        <v>867</v>
      </c>
      <c r="W151" s="3" t="s">
        <v>3</v>
      </c>
      <c r="X151" s="10">
        <v>0.93</v>
      </c>
      <c r="Y151" s="6">
        <v>2.3900000000000001E-2</v>
      </c>
      <c r="Z151" s="10">
        <v>0.94</v>
      </c>
      <c r="AA151" s="6">
        <v>9.9000000000000008E-3</v>
      </c>
      <c r="AB151" s="102">
        <v>107700</v>
      </c>
      <c r="AC151">
        <v>0.95</v>
      </c>
      <c r="AD151" s="10">
        <v>8460</v>
      </c>
      <c r="AE151">
        <v>313521</v>
      </c>
      <c r="AF151" s="10">
        <v>0.95</v>
      </c>
    </row>
    <row r="152" spans="1:32" ht="16" customHeight="1" x14ac:dyDescent="0.25">
      <c r="A152" s="105" t="s">
        <v>1240</v>
      </c>
      <c r="C152" s="3" t="s">
        <v>868</v>
      </c>
      <c r="D152" s="101">
        <v>42678</v>
      </c>
      <c r="E152" s="3" t="s">
        <v>869</v>
      </c>
      <c r="F152" s="3">
        <v>0.41499999999999998</v>
      </c>
      <c r="G152" s="3">
        <v>120287000</v>
      </c>
      <c r="H152" s="3">
        <v>0.40500000000000003</v>
      </c>
      <c r="I152" s="2">
        <v>0.41499999999999998</v>
      </c>
      <c r="J152" s="4">
        <v>0.40500000000000003</v>
      </c>
      <c r="K152" s="1">
        <v>5.0000000000000001E-3</v>
      </c>
      <c r="L152" s="6">
        <v>1.2200000000000001E-2</v>
      </c>
      <c r="M152" s="6">
        <v>-0.35659000000000002</v>
      </c>
      <c r="N152" s="6">
        <v>9.2109999999999997E-2</v>
      </c>
      <c r="O152" s="6">
        <v>0.38</v>
      </c>
      <c r="P152">
        <v>0.64500000000000002</v>
      </c>
      <c r="Q152" t="s">
        <v>870</v>
      </c>
      <c r="R152" s="9">
        <v>2.4409999999999998</v>
      </c>
      <c r="S152" s="3" t="s">
        <v>3</v>
      </c>
      <c r="T152" s="3">
        <v>0</v>
      </c>
      <c r="U152" s="3">
        <v>0.17</v>
      </c>
      <c r="V152" s="3" t="s">
        <v>871</v>
      </c>
      <c r="W152" s="3" t="s">
        <v>3</v>
      </c>
      <c r="X152" s="10">
        <v>0.48099999999999998</v>
      </c>
      <c r="Y152" s="6">
        <v>-0.13669999999999999</v>
      </c>
      <c r="Z152" s="10">
        <v>0.48399999999999999</v>
      </c>
      <c r="AA152" s="6">
        <v>-0.14194999999999999</v>
      </c>
      <c r="AB152" s="102">
        <v>751540</v>
      </c>
      <c r="AC152">
        <v>0.41499999999999998</v>
      </c>
      <c r="AD152" s="10">
        <v>1081</v>
      </c>
      <c r="AE152">
        <v>36434</v>
      </c>
      <c r="AF152" s="10">
        <v>0.41</v>
      </c>
    </row>
    <row r="153" spans="1:32" ht="16" customHeight="1" x14ac:dyDescent="0.25">
      <c r="A153" s="105" t="s">
        <v>1241</v>
      </c>
      <c r="C153" s="3" t="s">
        <v>872</v>
      </c>
      <c r="D153" s="101">
        <v>42678</v>
      </c>
      <c r="E153" s="3" t="s">
        <v>504</v>
      </c>
      <c r="F153" s="3">
        <v>9.7000000000000003E-2</v>
      </c>
      <c r="G153" s="3">
        <v>862870000</v>
      </c>
      <c r="H153" s="3">
        <v>0.105</v>
      </c>
      <c r="I153" s="2">
        <v>0.105</v>
      </c>
      <c r="J153" s="4">
        <v>9.2999999999999999E-2</v>
      </c>
      <c r="K153" s="1">
        <v>-3.0000000000000001E-3</v>
      </c>
      <c r="L153" s="6">
        <v>-0.03</v>
      </c>
      <c r="M153" s="6">
        <v>-0.39108999999999999</v>
      </c>
      <c r="N153" s="6">
        <v>0.26467000000000002</v>
      </c>
      <c r="O153">
        <v>7.6999999999999999E-2</v>
      </c>
      <c r="P153">
        <v>0.159</v>
      </c>
      <c r="Q153" t="s">
        <v>873</v>
      </c>
      <c r="R153" s="9" t="s">
        <v>3</v>
      </c>
      <c r="S153" s="3" t="s">
        <v>3</v>
      </c>
      <c r="T153" s="3">
        <v>0</v>
      </c>
      <c r="U153" s="3">
        <v>-8.0000000000000002E-3</v>
      </c>
      <c r="V153" s="3" t="s">
        <v>874</v>
      </c>
      <c r="W153" s="3" t="s">
        <v>3</v>
      </c>
      <c r="X153" s="10">
        <v>0.11700000000000001</v>
      </c>
      <c r="Y153" s="6">
        <v>-0.16853000000000001</v>
      </c>
      <c r="Z153" s="10">
        <v>0.11600000000000001</v>
      </c>
      <c r="AA153" s="6">
        <v>-0.16431999999999999</v>
      </c>
      <c r="AB153" s="102">
        <v>2659120</v>
      </c>
      <c r="AC153">
        <v>9.7000000000000003E-2</v>
      </c>
      <c r="AD153" s="10">
        <v>5398</v>
      </c>
      <c r="AE153">
        <v>3636098</v>
      </c>
      <c r="AF153" s="10">
        <v>0.1</v>
      </c>
    </row>
    <row r="154" spans="1:32" ht="16" customHeight="1" x14ac:dyDescent="0.25">
      <c r="A154" s="105" t="s">
        <v>1242</v>
      </c>
      <c r="C154" s="3" t="s">
        <v>875</v>
      </c>
      <c r="D154" s="101">
        <v>42678</v>
      </c>
      <c r="E154" s="3" t="s">
        <v>427</v>
      </c>
      <c r="F154" s="3">
        <v>7.1999999999999995E-2</v>
      </c>
      <c r="G154" s="3">
        <v>1573730000</v>
      </c>
      <c r="H154" s="3">
        <v>7.1999999999999995E-2</v>
      </c>
      <c r="I154" s="2">
        <v>7.1999999999999995E-2</v>
      </c>
      <c r="J154" s="4">
        <v>7.1999999999999995E-2</v>
      </c>
      <c r="K154" s="1">
        <v>0</v>
      </c>
      <c r="L154" s="6">
        <v>0</v>
      </c>
      <c r="M154" s="6">
        <v>-0.31429000000000001</v>
      </c>
      <c r="N154" s="6">
        <v>0.53190999999999999</v>
      </c>
      <c r="O154">
        <v>4.7E-2</v>
      </c>
      <c r="P154">
        <v>0.105</v>
      </c>
      <c r="Q154" t="s">
        <v>876</v>
      </c>
      <c r="R154" s="9" t="s">
        <v>3</v>
      </c>
      <c r="S154" s="3" t="s">
        <v>3</v>
      </c>
      <c r="T154" s="3">
        <v>0</v>
      </c>
      <c r="U154" s="3">
        <v>-2E-3</v>
      </c>
      <c r="V154" s="3" t="s">
        <v>877</v>
      </c>
      <c r="W154" s="3" t="s">
        <v>3</v>
      </c>
      <c r="X154" s="10">
        <v>7.4999999999999997E-2</v>
      </c>
      <c r="Y154" s="6">
        <v>-4.3450000000000003E-2</v>
      </c>
      <c r="Z154" s="10">
        <v>8.2000000000000003E-2</v>
      </c>
      <c r="AA154" s="6">
        <v>-0.1221</v>
      </c>
      <c r="AB154" s="102">
        <v>3226960</v>
      </c>
      <c r="AC154">
        <v>7.1999999999999995E-2</v>
      </c>
      <c r="AD154" s="10">
        <v>37444</v>
      </c>
      <c r="AE154">
        <v>385945</v>
      </c>
      <c r="AF154" s="10">
        <v>7.1999999999999995E-2</v>
      </c>
    </row>
    <row r="155" spans="1:32" ht="16" customHeight="1" x14ac:dyDescent="0.25">
      <c r="A155" s="105" t="s">
        <v>1243</v>
      </c>
      <c r="C155" s="3" t="s">
        <v>878</v>
      </c>
      <c r="D155" s="101">
        <v>42678</v>
      </c>
      <c r="E155" s="3" t="s">
        <v>685</v>
      </c>
      <c r="F155" s="3">
        <v>0.11</v>
      </c>
      <c r="G155" s="3">
        <v>435576000</v>
      </c>
      <c r="H155" s="3">
        <v>0.12</v>
      </c>
      <c r="I155" s="2">
        <v>0.12</v>
      </c>
      <c r="J155" s="4">
        <v>0.11</v>
      </c>
      <c r="K155" s="1">
        <v>0</v>
      </c>
      <c r="L155" s="6">
        <v>0</v>
      </c>
      <c r="M155" s="6">
        <v>-0.1852</v>
      </c>
      <c r="N155" s="6">
        <v>0.35799999999999998</v>
      </c>
      <c r="O155">
        <v>0.08</v>
      </c>
      <c r="P155">
        <v>0.14000000000000001</v>
      </c>
      <c r="Q155" t="s">
        <v>879</v>
      </c>
      <c r="R155" s="9" t="s">
        <v>3</v>
      </c>
      <c r="S155" s="3" t="s">
        <v>3</v>
      </c>
      <c r="T155" s="3">
        <v>0</v>
      </c>
      <c r="U155" s="3">
        <v>-0.14000000000000001</v>
      </c>
      <c r="V155" s="3" t="s">
        <v>880</v>
      </c>
      <c r="W155" s="3" t="s">
        <v>3</v>
      </c>
      <c r="X155" s="10">
        <v>0.11</v>
      </c>
      <c r="Y155" s="6">
        <v>-3.09E-2</v>
      </c>
      <c r="Z155" s="10">
        <v>0.11</v>
      </c>
      <c r="AA155" s="6">
        <v>4.0500000000000001E-2</v>
      </c>
      <c r="AB155" s="102">
        <v>657943</v>
      </c>
      <c r="AC155">
        <v>0.11</v>
      </c>
      <c r="AD155" s="10">
        <v>20000</v>
      </c>
      <c r="AE155">
        <v>1020000</v>
      </c>
      <c r="AF155" s="10">
        <v>0.11</v>
      </c>
    </row>
    <row r="156" spans="1:32" ht="16" customHeight="1" x14ac:dyDescent="0.25">
      <c r="A156" s="105" t="s">
        <v>1244</v>
      </c>
      <c r="C156" s="3" t="s">
        <v>881</v>
      </c>
      <c r="D156" s="101">
        <v>42678</v>
      </c>
      <c r="E156" s="3" t="s">
        <v>882</v>
      </c>
      <c r="F156" s="3">
        <v>0.98499999999999999</v>
      </c>
      <c r="G156" s="3">
        <v>6576000</v>
      </c>
      <c r="H156" s="3">
        <v>0.96</v>
      </c>
      <c r="I156" s="2">
        <v>0.98499999999999999</v>
      </c>
      <c r="J156" s="4">
        <v>0.96</v>
      </c>
      <c r="K156" s="1">
        <v>0</v>
      </c>
      <c r="L156" s="6">
        <v>0</v>
      </c>
      <c r="M156" s="6">
        <v>-0.10455</v>
      </c>
      <c r="N156" s="6">
        <v>0.15881999999999999</v>
      </c>
      <c r="O156">
        <v>0.85</v>
      </c>
      <c r="P156">
        <v>1.1000000000000001</v>
      </c>
      <c r="Q156" t="s">
        <v>883</v>
      </c>
      <c r="R156" s="9">
        <v>11.321999999999999</v>
      </c>
      <c r="S156" s="3" t="s">
        <v>3</v>
      </c>
      <c r="T156" s="3">
        <v>0</v>
      </c>
      <c r="U156" s="3">
        <v>8.6999999999999994E-2</v>
      </c>
      <c r="V156" s="3" t="s">
        <v>884</v>
      </c>
      <c r="W156" s="3" t="s">
        <v>3</v>
      </c>
      <c r="X156" s="10">
        <v>0.96099999999999997</v>
      </c>
      <c r="Y156" s="6">
        <v>2.46E-2</v>
      </c>
      <c r="Z156" s="10">
        <v>0.97</v>
      </c>
      <c r="AA156" s="6">
        <v>1.5859999999999999E-2</v>
      </c>
      <c r="AB156" s="102">
        <v>4145</v>
      </c>
      <c r="AC156">
        <v>0.98499999999999999</v>
      </c>
      <c r="AD156" s="10">
        <v>6015</v>
      </c>
      <c r="AE156">
        <v>20000</v>
      </c>
      <c r="AF156" s="10">
        <v>0.98499999999999999</v>
      </c>
    </row>
    <row r="157" spans="1:32" ht="16" customHeight="1" x14ac:dyDescent="0.25">
      <c r="A157" s="105" t="s">
        <v>1245</v>
      </c>
      <c r="C157" s="3" t="s">
        <v>885</v>
      </c>
      <c r="D157" s="101">
        <v>42678</v>
      </c>
      <c r="E157" s="3" t="s">
        <v>600</v>
      </c>
      <c r="F157" s="3">
        <v>0.91500000000000004</v>
      </c>
      <c r="G157" s="3">
        <v>74404000</v>
      </c>
      <c r="H157" s="3">
        <v>0.93</v>
      </c>
      <c r="I157" s="2">
        <v>0.93</v>
      </c>
      <c r="J157" s="4">
        <v>0.91</v>
      </c>
      <c r="K157" s="1">
        <v>-1.4999999999999999E-2</v>
      </c>
      <c r="L157" s="6">
        <v>-1.6129999999999999E-2</v>
      </c>
      <c r="M157" s="6">
        <v>-0.54925999999999997</v>
      </c>
      <c r="N157" s="6">
        <v>6.7680000000000004E-2</v>
      </c>
      <c r="O157">
        <v>0.85699999999999998</v>
      </c>
      <c r="P157">
        <v>2.0299999999999998</v>
      </c>
      <c r="Q157" t="s">
        <v>886</v>
      </c>
      <c r="R157" s="9">
        <v>11.159000000000001</v>
      </c>
      <c r="S157" s="3" t="s">
        <v>3</v>
      </c>
      <c r="T157" s="3">
        <v>0</v>
      </c>
      <c r="U157" s="3">
        <v>8.2000000000000003E-2</v>
      </c>
      <c r="V157" s="3" t="s">
        <v>887</v>
      </c>
      <c r="W157" s="3" t="s">
        <v>3</v>
      </c>
      <c r="X157" s="10">
        <v>1.103</v>
      </c>
      <c r="Y157" s="6">
        <v>-0.17077000000000001</v>
      </c>
      <c r="Z157" s="10">
        <v>1.089</v>
      </c>
      <c r="AA157" s="6">
        <v>-0.15977</v>
      </c>
      <c r="AB157" s="102">
        <v>146630</v>
      </c>
      <c r="AC157">
        <v>0.91500000000000004</v>
      </c>
      <c r="AD157" s="10">
        <v>1805</v>
      </c>
      <c r="AE157">
        <v>149193</v>
      </c>
      <c r="AF157" s="10">
        <v>0.93</v>
      </c>
    </row>
    <row r="158" spans="1:32" ht="16" customHeight="1" x14ac:dyDescent="0.25">
      <c r="A158" s="105" t="s">
        <v>1246</v>
      </c>
      <c r="C158" s="3" t="s">
        <v>888</v>
      </c>
      <c r="D158" s="101">
        <v>42678</v>
      </c>
      <c r="E158" s="3" t="s">
        <v>407</v>
      </c>
      <c r="F158" s="3">
        <v>0.36</v>
      </c>
      <c r="G158" s="3">
        <v>308813000</v>
      </c>
      <c r="H158" s="3">
        <v>0.37</v>
      </c>
      <c r="I158" s="2">
        <v>0.37</v>
      </c>
      <c r="J158" s="4">
        <v>0.35</v>
      </c>
      <c r="K158" s="1">
        <v>0</v>
      </c>
      <c r="L158" s="6">
        <v>0</v>
      </c>
      <c r="M158" s="6">
        <v>-0.89139999999999997</v>
      </c>
      <c r="N158" s="6">
        <v>0.75609999999999999</v>
      </c>
      <c r="O158">
        <v>0.2</v>
      </c>
      <c r="P158">
        <v>3.32</v>
      </c>
      <c r="Q158" t="s">
        <v>889</v>
      </c>
      <c r="R158" s="9" t="s">
        <v>3</v>
      </c>
      <c r="S158" s="3" t="s">
        <v>3</v>
      </c>
      <c r="T158" s="3">
        <v>-0.21</v>
      </c>
      <c r="U158" s="3">
        <v>-2.89</v>
      </c>
      <c r="V158" s="3" t="s">
        <v>890</v>
      </c>
      <c r="W158" s="3" t="s">
        <v>3</v>
      </c>
      <c r="X158" s="10">
        <v>0.38</v>
      </c>
      <c r="Y158" s="6">
        <v>-5.7299999999999997E-2</v>
      </c>
      <c r="Z158" s="10">
        <v>0.41</v>
      </c>
      <c r="AA158" s="6">
        <v>-0.12039999999999999</v>
      </c>
      <c r="AB158" s="102">
        <v>2875980</v>
      </c>
      <c r="AC158">
        <v>0.36</v>
      </c>
      <c r="AD158" s="10">
        <v>4000</v>
      </c>
      <c r="AE158">
        <v>453057</v>
      </c>
      <c r="AF158" s="10">
        <v>0.36</v>
      </c>
    </row>
    <row r="159" spans="1:32" ht="16" customHeight="1" x14ac:dyDescent="0.25">
      <c r="A159" s="105" t="s">
        <v>1247</v>
      </c>
      <c r="C159" s="3" t="s">
        <v>891</v>
      </c>
      <c r="D159" s="101">
        <v>42678</v>
      </c>
      <c r="E159" s="3" t="s">
        <v>685</v>
      </c>
      <c r="F159" s="3">
        <v>0.13500000000000001</v>
      </c>
      <c r="G159" s="3">
        <v>415553000</v>
      </c>
      <c r="H159" s="3">
        <v>0.13500000000000001</v>
      </c>
      <c r="I159" s="2">
        <v>0.14000000000000001</v>
      </c>
      <c r="J159" s="4">
        <v>0.13500000000000001</v>
      </c>
      <c r="K159" s="1">
        <v>0</v>
      </c>
      <c r="L159" s="6">
        <v>0</v>
      </c>
      <c r="M159" s="6">
        <v>-0.28947000000000001</v>
      </c>
      <c r="N159" s="6">
        <v>2.2926799999999998</v>
      </c>
      <c r="O159">
        <v>4.1000000000000002E-2</v>
      </c>
      <c r="P159">
        <v>0.19</v>
      </c>
      <c r="Q159" t="s">
        <v>892</v>
      </c>
      <c r="R159" s="9" t="s">
        <v>3</v>
      </c>
      <c r="S159" s="3" t="s">
        <v>3</v>
      </c>
      <c r="T159" s="3">
        <v>0.02</v>
      </c>
      <c r="U159" s="3">
        <v>-0.26600000000000001</v>
      </c>
      <c r="V159" s="3" t="s">
        <v>893</v>
      </c>
      <c r="W159" s="3" t="s">
        <v>3</v>
      </c>
      <c r="X159" s="10">
        <v>0.13300000000000001</v>
      </c>
      <c r="Y159" s="6">
        <v>1.175E-2</v>
      </c>
      <c r="Z159" s="10">
        <v>0.11600000000000001</v>
      </c>
      <c r="AA159" s="6">
        <v>0.15922</v>
      </c>
      <c r="AB159" s="102">
        <v>722706</v>
      </c>
      <c r="AC159">
        <v>0.13500000000000001</v>
      </c>
      <c r="AD159" s="10">
        <v>15000</v>
      </c>
      <c r="AE159">
        <v>245500</v>
      </c>
      <c r="AF159" s="10">
        <v>0.13500000000000001</v>
      </c>
    </row>
    <row r="160" spans="1:32" ht="16" customHeight="1" x14ac:dyDescent="0.25">
      <c r="A160" s="105" t="s">
        <v>1248</v>
      </c>
      <c r="C160" s="3" t="s">
        <v>894</v>
      </c>
      <c r="D160" s="101">
        <v>42678</v>
      </c>
      <c r="E160" s="3" t="s">
        <v>895</v>
      </c>
      <c r="F160" s="3">
        <v>0.84499999999999997</v>
      </c>
      <c r="G160" s="3">
        <v>87701000</v>
      </c>
      <c r="H160" s="3">
        <v>0.84499999999999997</v>
      </c>
      <c r="I160" s="2">
        <v>0.84499999999999997</v>
      </c>
      <c r="J160" s="4">
        <v>0.84499999999999997</v>
      </c>
      <c r="K160" s="1">
        <v>-5.0000000000000001E-3</v>
      </c>
      <c r="L160" s="6">
        <v>-5.8799999999999998E-3</v>
      </c>
      <c r="M160" s="6">
        <v>-0.10106</v>
      </c>
      <c r="N160" s="6">
        <v>1.81667</v>
      </c>
      <c r="O160">
        <v>0.3</v>
      </c>
      <c r="P160">
        <v>0.94</v>
      </c>
      <c r="Q160" t="s">
        <v>896</v>
      </c>
      <c r="R160" s="9" t="s">
        <v>3</v>
      </c>
      <c r="S160" s="3" t="s">
        <v>3</v>
      </c>
      <c r="T160" s="3">
        <v>0</v>
      </c>
      <c r="U160" s="3">
        <v>-4.9000000000000002E-2</v>
      </c>
      <c r="V160" s="3" t="s">
        <v>897</v>
      </c>
      <c r="W160" s="3" t="s">
        <v>3</v>
      </c>
      <c r="X160" s="10">
        <v>0.80900000000000005</v>
      </c>
      <c r="Y160" s="6">
        <v>4.4080000000000001E-2</v>
      </c>
      <c r="Z160" s="10">
        <v>0.70399999999999996</v>
      </c>
      <c r="AA160" s="6">
        <v>0.19958999999999999</v>
      </c>
      <c r="AB160" s="102">
        <v>416811</v>
      </c>
      <c r="AC160">
        <v>0.84499999999999997</v>
      </c>
      <c r="AD160" s="10">
        <v>2134</v>
      </c>
      <c r="AE160">
        <v>3000</v>
      </c>
      <c r="AF160" s="10">
        <v>0.85</v>
      </c>
    </row>
    <row r="161" spans="1:32" ht="16" customHeight="1" x14ac:dyDescent="0.25">
      <c r="A161" s="105" t="s">
        <v>1249</v>
      </c>
      <c r="C161" s="3" t="s">
        <v>898</v>
      </c>
      <c r="D161" s="101">
        <v>42677</v>
      </c>
      <c r="E161" s="3" t="s">
        <v>899</v>
      </c>
      <c r="F161" s="3">
        <v>0.64500000000000002</v>
      </c>
      <c r="G161" s="3">
        <v>195717000</v>
      </c>
      <c r="H161" s="3">
        <v>0.61499999999999999</v>
      </c>
      <c r="I161" s="2">
        <v>0.64500000000000002</v>
      </c>
      <c r="J161" s="4">
        <v>0.61</v>
      </c>
      <c r="K161" s="1">
        <v>0</v>
      </c>
      <c r="L161" s="6">
        <v>0</v>
      </c>
      <c r="M161" s="6">
        <v>-0.29508000000000001</v>
      </c>
      <c r="N161" s="6">
        <v>6.6119999999999998E-2</v>
      </c>
      <c r="O161">
        <v>0.60499999999999998</v>
      </c>
      <c r="P161">
        <v>0.91500000000000004</v>
      </c>
      <c r="Q161" t="s">
        <v>900</v>
      </c>
      <c r="R161" s="9">
        <v>2.9860000000000002</v>
      </c>
      <c r="S161" s="3" t="s">
        <v>3</v>
      </c>
      <c r="T161" s="3">
        <v>0</v>
      </c>
      <c r="U161" s="3">
        <v>0.216</v>
      </c>
      <c r="V161" s="3" t="s">
        <v>901</v>
      </c>
      <c r="W161" s="3" t="s">
        <v>3</v>
      </c>
      <c r="X161" s="10">
        <v>0.68</v>
      </c>
      <c r="Y161" s="6">
        <v>-5.1659999999999998E-2</v>
      </c>
      <c r="Z161" s="10">
        <v>0.73199999999999998</v>
      </c>
      <c r="AA161" s="6">
        <v>-0.11894</v>
      </c>
      <c r="AB161" s="102">
        <v>753345</v>
      </c>
      <c r="AC161">
        <v>0.64500000000000002</v>
      </c>
      <c r="AD161" s="10">
        <v>1502</v>
      </c>
      <c r="AE161">
        <v>118369</v>
      </c>
      <c r="AF161" s="10">
        <v>0.64500000000000002</v>
      </c>
    </row>
    <row r="162" spans="1:32" ht="16" customHeight="1" x14ac:dyDescent="0.25">
      <c r="A162" s="105" t="s">
        <v>1250</v>
      </c>
      <c r="C162" s="3" t="s">
        <v>902</v>
      </c>
      <c r="D162" s="101">
        <v>42678</v>
      </c>
      <c r="E162" s="3" t="s">
        <v>903</v>
      </c>
      <c r="F162" s="3">
        <v>2.9</v>
      </c>
      <c r="G162" s="3">
        <v>9000000</v>
      </c>
      <c r="H162" s="3">
        <v>2.9</v>
      </c>
      <c r="I162" s="2">
        <v>2.9</v>
      </c>
      <c r="J162" s="4">
        <v>2.9</v>
      </c>
      <c r="K162" s="1">
        <v>0</v>
      </c>
      <c r="L162" s="6">
        <v>0</v>
      </c>
      <c r="M162" s="6">
        <v>-9.3700000000000006E-2</v>
      </c>
      <c r="N162" s="6">
        <v>1.9</v>
      </c>
      <c r="O162">
        <v>1</v>
      </c>
      <c r="P162">
        <v>3.2</v>
      </c>
      <c r="Q162" t="s">
        <v>904</v>
      </c>
      <c r="R162" s="9">
        <v>39.19</v>
      </c>
      <c r="S162" s="3" t="s">
        <v>3</v>
      </c>
      <c r="T162" s="3">
        <v>0</v>
      </c>
      <c r="U162" s="3">
        <v>7.0000000000000007E-2</v>
      </c>
      <c r="V162" s="3" t="s">
        <v>905</v>
      </c>
      <c r="W162" s="3" t="s">
        <v>3</v>
      </c>
      <c r="X162" s="10">
        <v>2.94</v>
      </c>
      <c r="Y162" s="6">
        <v>-1.46E-2</v>
      </c>
      <c r="Z162" s="10">
        <v>2.4700000000000002</v>
      </c>
      <c r="AA162" s="6">
        <v>0.1726</v>
      </c>
      <c r="AB162" s="102">
        <v>10366</v>
      </c>
      <c r="AC162">
        <v>2.9</v>
      </c>
      <c r="AD162" s="10">
        <v>1070</v>
      </c>
      <c r="AE162">
        <v>1488</v>
      </c>
      <c r="AF162" s="10">
        <v>2.9</v>
      </c>
    </row>
    <row r="163" spans="1:32" ht="16" customHeight="1" x14ac:dyDescent="0.25">
      <c r="A163" s="105" t="s">
        <v>1251</v>
      </c>
      <c r="C163" s="3" t="s">
        <v>906</v>
      </c>
      <c r="D163" s="101">
        <v>42678</v>
      </c>
      <c r="E163" s="3" t="s">
        <v>442</v>
      </c>
      <c r="F163" s="3">
        <v>0.90500000000000003</v>
      </c>
      <c r="G163" s="3">
        <v>122150000</v>
      </c>
      <c r="H163" s="3">
        <v>0.91</v>
      </c>
      <c r="I163" s="2">
        <v>0.92</v>
      </c>
      <c r="J163" s="4">
        <v>0.9</v>
      </c>
      <c r="K163" s="1">
        <v>5.0000000000000001E-3</v>
      </c>
      <c r="L163" s="107">
        <v>5.5599999999999998E-3</v>
      </c>
      <c r="M163" s="6">
        <v>-0.12559999999999999</v>
      </c>
      <c r="N163" s="6">
        <v>0.77451000000000003</v>
      </c>
      <c r="O163">
        <v>0.51</v>
      </c>
      <c r="P163">
        <v>1.0349999999999999</v>
      </c>
      <c r="Q163" t="s">
        <v>907</v>
      </c>
      <c r="R163" s="9">
        <v>11.907999999999999</v>
      </c>
      <c r="S163" s="3" t="s">
        <v>3</v>
      </c>
      <c r="T163" s="3">
        <v>0</v>
      </c>
      <c r="U163" s="3">
        <v>7.5999999999999998E-2</v>
      </c>
      <c r="V163" s="3" t="s">
        <v>908</v>
      </c>
      <c r="W163" s="3" t="s">
        <v>3</v>
      </c>
      <c r="X163" s="10">
        <v>0.85499999999999998</v>
      </c>
      <c r="Y163" s="6">
        <v>5.8310000000000001E-2</v>
      </c>
      <c r="Z163" s="10">
        <v>0.68400000000000005</v>
      </c>
      <c r="AA163" s="6">
        <v>0.32329000000000002</v>
      </c>
      <c r="AB163" s="102">
        <v>449374</v>
      </c>
      <c r="AC163">
        <v>0.90500000000000003</v>
      </c>
      <c r="AD163" s="10">
        <v>2010</v>
      </c>
      <c r="AE163">
        <v>66156</v>
      </c>
      <c r="AF163" s="10">
        <v>0.9</v>
      </c>
    </row>
    <row r="164" spans="1:32" ht="16" customHeight="1" x14ac:dyDescent="0.25">
      <c r="A164" s="105" t="s">
        <v>1252</v>
      </c>
      <c r="C164" s="3" t="s">
        <v>909</v>
      </c>
      <c r="D164" s="101">
        <v>42678</v>
      </c>
      <c r="E164" s="3" t="s">
        <v>427</v>
      </c>
      <c r="F164" s="3">
        <v>7.08</v>
      </c>
      <c r="G164" s="3">
        <v>14666000</v>
      </c>
      <c r="H164" s="3">
        <v>7.06</v>
      </c>
      <c r="I164" s="2">
        <v>7.09</v>
      </c>
      <c r="J164" s="4">
        <v>7.05</v>
      </c>
      <c r="K164" s="1">
        <v>0.03</v>
      </c>
      <c r="L164" s="6">
        <v>4.3E-3</v>
      </c>
      <c r="M164" s="6">
        <v>-9.7999999999999997E-3</v>
      </c>
      <c r="N164" s="6">
        <v>1.3678999999999999</v>
      </c>
      <c r="O164">
        <v>2.99</v>
      </c>
      <c r="P164">
        <v>7.15</v>
      </c>
      <c r="Q164" t="s">
        <v>910</v>
      </c>
      <c r="R164" s="9">
        <v>20.58</v>
      </c>
      <c r="S164" s="3" t="s">
        <v>3</v>
      </c>
      <c r="T164" s="3">
        <v>0.83</v>
      </c>
      <c r="U164" s="3">
        <v>0.34</v>
      </c>
      <c r="V164" s="3" t="s">
        <v>911</v>
      </c>
      <c r="W164" s="3" t="s">
        <v>3</v>
      </c>
      <c r="X164" s="10">
        <v>6.98</v>
      </c>
      <c r="Y164" s="6">
        <v>1.4999999999999999E-2</v>
      </c>
      <c r="Z164" s="10">
        <v>6.17</v>
      </c>
      <c r="AA164" s="6">
        <v>0.1474</v>
      </c>
      <c r="AB164" s="102">
        <v>46875</v>
      </c>
      <c r="AC164">
        <v>7.08</v>
      </c>
      <c r="AD164" s="10">
        <v>1000</v>
      </c>
      <c r="AE164">
        <v>60116</v>
      </c>
      <c r="AF164" s="10">
        <v>7.05</v>
      </c>
    </row>
    <row r="165" spans="1:32" ht="16" customHeight="1" x14ac:dyDescent="0.25">
      <c r="A165" s="105" t="s">
        <v>1253</v>
      </c>
      <c r="C165" s="3" t="s">
        <v>912</v>
      </c>
      <c r="D165" s="101">
        <v>42678</v>
      </c>
      <c r="E165" s="3" t="s">
        <v>593</v>
      </c>
      <c r="F165" s="3">
        <v>1.6E-2</v>
      </c>
      <c r="G165" s="3">
        <v>4473380000</v>
      </c>
      <c r="H165" s="3">
        <v>1.6E-2</v>
      </c>
      <c r="I165" s="2">
        <v>1.6E-2</v>
      </c>
      <c r="J165" s="4">
        <v>1.6E-2</v>
      </c>
      <c r="K165" s="1">
        <v>1E-3</v>
      </c>
      <c r="L165" s="6">
        <v>6.6669999999999993E-2</v>
      </c>
      <c r="M165" s="6">
        <v>-0.48387000000000002</v>
      </c>
      <c r="N165" s="6">
        <v>15</v>
      </c>
      <c r="O165">
        <v>1E-3</v>
      </c>
      <c r="P165">
        <v>3.1E-2</v>
      </c>
      <c r="Q165" t="s">
        <v>913</v>
      </c>
      <c r="R165" s="9" t="s">
        <v>3</v>
      </c>
      <c r="S165" s="3" t="s">
        <v>3</v>
      </c>
      <c r="T165" s="3">
        <v>0</v>
      </c>
      <c r="U165" s="3">
        <v>-0.01</v>
      </c>
      <c r="V165" s="3" t="s">
        <v>914</v>
      </c>
      <c r="W165" s="3" t="s">
        <v>3</v>
      </c>
      <c r="X165" s="10">
        <v>1.7000000000000001E-2</v>
      </c>
      <c r="Y165" s="6">
        <v>-8.2170000000000007E-2</v>
      </c>
      <c r="Z165" s="10">
        <v>1.7999999999999999E-2</v>
      </c>
      <c r="AA165" s="6">
        <v>-0.12495000000000001</v>
      </c>
      <c r="AB165" s="102">
        <v>26060</v>
      </c>
      <c r="AC165">
        <v>1.6E-2</v>
      </c>
      <c r="AD165" s="10">
        <v>19500</v>
      </c>
      <c r="AE165">
        <v>19500</v>
      </c>
      <c r="AF165" s="10">
        <v>1.4999999999999999E-2</v>
      </c>
    </row>
    <row r="166" spans="1:32" ht="16" customHeight="1" x14ac:dyDescent="0.25">
      <c r="A166" s="105" t="s">
        <v>1254</v>
      </c>
      <c r="C166" s="3" t="s">
        <v>915</v>
      </c>
      <c r="D166" s="101">
        <v>42676</v>
      </c>
      <c r="E166" s="3" t="s">
        <v>916</v>
      </c>
      <c r="F166" s="3">
        <v>7.0000000000000007E-2</v>
      </c>
      <c r="G166" s="3">
        <v>291137000</v>
      </c>
      <c r="H166" s="3">
        <v>7.0000000000000007E-2</v>
      </c>
      <c r="I166" s="2">
        <v>7.0000000000000007E-2</v>
      </c>
      <c r="J166" s="4">
        <v>7.0000000000000007E-2</v>
      </c>
      <c r="K166" s="1">
        <v>0</v>
      </c>
      <c r="L166" s="6">
        <v>0</v>
      </c>
      <c r="M166" s="6">
        <v>-0.17649999999999999</v>
      </c>
      <c r="N166" s="6">
        <v>16.5</v>
      </c>
      <c r="O166">
        <v>0</v>
      </c>
      <c r="P166">
        <v>0.09</v>
      </c>
      <c r="Q166" t="s">
        <v>917</v>
      </c>
      <c r="R166" s="9" t="s">
        <v>3</v>
      </c>
      <c r="S166" s="3" t="s">
        <v>3</v>
      </c>
      <c r="T166" s="3">
        <v>0</v>
      </c>
      <c r="U166" s="3">
        <v>-0.02</v>
      </c>
      <c r="V166" s="3" t="s">
        <v>918</v>
      </c>
      <c r="W166" s="3" t="s">
        <v>3</v>
      </c>
      <c r="X166" s="10">
        <v>7.0000000000000007E-2</v>
      </c>
      <c r="Y166" s="6">
        <v>6.1999999999999998E-3</v>
      </c>
      <c r="Z166" s="10">
        <v>0.04</v>
      </c>
      <c r="AA166" s="6">
        <v>0.75060000000000004</v>
      </c>
      <c r="AB166" s="102">
        <v>199804</v>
      </c>
      <c r="AC166">
        <v>7.0000000000000007E-2</v>
      </c>
      <c r="AD166" s="10">
        <v>5000</v>
      </c>
      <c r="AE166">
        <v>25000</v>
      </c>
      <c r="AF166" s="10">
        <v>7.0000000000000007E-2</v>
      </c>
    </row>
    <row r="167" spans="1:32" ht="16" customHeight="1" x14ac:dyDescent="0.25">
      <c r="A167" s="105" t="s">
        <v>1255</v>
      </c>
      <c r="C167" s="3" t="s">
        <v>919</v>
      </c>
      <c r="D167" s="101">
        <v>42678</v>
      </c>
      <c r="E167" s="3" t="s">
        <v>816</v>
      </c>
      <c r="F167" s="3">
        <v>1.28</v>
      </c>
      <c r="G167" s="3">
        <v>46820000</v>
      </c>
      <c r="H167" s="3">
        <v>1.34</v>
      </c>
      <c r="I167" s="2">
        <v>1.35</v>
      </c>
      <c r="J167" s="4">
        <v>1.22</v>
      </c>
      <c r="K167" s="1">
        <v>-0.03</v>
      </c>
      <c r="L167" s="6">
        <v>-2.29E-2</v>
      </c>
      <c r="M167" s="6">
        <v>-8.2400000000000001E-2</v>
      </c>
      <c r="N167" s="6">
        <v>0.93940000000000001</v>
      </c>
      <c r="O167">
        <v>0.66</v>
      </c>
      <c r="P167">
        <v>1.39</v>
      </c>
      <c r="Q167" t="s">
        <v>920</v>
      </c>
      <c r="R167" s="9">
        <v>9.2100000000000009</v>
      </c>
      <c r="S167" s="3" t="s">
        <v>3</v>
      </c>
      <c r="T167" s="3">
        <v>0</v>
      </c>
      <c r="U167" s="3">
        <v>0.14000000000000001</v>
      </c>
      <c r="V167" s="3" t="s">
        <v>921</v>
      </c>
      <c r="W167" s="3" t="s">
        <v>3</v>
      </c>
      <c r="X167" s="10">
        <v>1.25</v>
      </c>
      <c r="Y167" s="6">
        <v>2.1000000000000001E-2</v>
      </c>
      <c r="Z167" s="10">
        <v>1.02</v>
      </c>
      <c r="AA167" s="6">
        <v>0.25850000000000001</v>
      </c>
      <c r="AB167" s="102">
        <v>203136</v>
      </c>
      <c r="AC167">
        <v>1.28</v>
      </c>
      <c r="AD167" s="10">
        <v>254</v>
      </c>
      <c r="AE167">
        <v>203746</v>
      </c>
      <c r="AF167" s="10">
        <v>1.31</v>
      </c>
    </row>
    <row r="168" spans="1:32" ht="16" customHeight="1" x14ac:dyDescent="0.25">
      <c r="A168" s="105" t="s">
        <v>1256</v>
      </c>
      <c r="C168" s="3" t="s">
        <v>922</v>
      </c>
      <c r="D168" s="101">
        <v>42678</v>
      </c>
      <c r="E168" s="3" t="s">
        <v>498</v>
      </c>
      <c r="F168" s="3">
        <v>1.1299999999999999</v>
      </c>
      <c r="G168" s="3">
        <v>35527000</v>
      </c>
      <c r="H168" s="3">
        <v>1.1200000000000001</v>
      </c>
      <c r="I168" s="2">
        <v>1.1499999999999999</v>
      </c>
      <c r="J168" s="4">
        <v>1.1200000000000001</v>
      </c>
      <c r="K168" s="1">
        <v>0.03</v>
      </c>
      <c r="L168" s="6">
        <v>2.7300000000000001E-2</v>
      </c>
      <c r="M168" s="6">
        <v>-0.1172</v>
      </c>
      <c r="N168" s="6">
        <v>2.7048999999999999</v>
      </c>
      <c r="O168">
        <v>0.31</v>
      </c>
      <c r="P168">
        <v>1.28</v>
      </c>
      <c r="Q168" t="s">
        <v>923</v>
      </c>
      <c r="R168" s="9">
        <v>49.13</v>
      </c>
      <c r="S168" s="3" t="s">
        <v>3</v>
      </c>
      <c r="T168" s="3">
        <v>0</v>
      </c>
      <c r="U168" s="3">
        <v>0.02</v>
      </c>
      <c r="V168" s="3" t="s">
        <v>924</v>
      </c>
      <c r="W168" s="3" t="s">
        <v>3</v>
      </c>
      <c r="X168" s="10">
        <v>0.99</v>
      </c>
      <c r="Y168" s="6">
        <v>0.14560000000000001</v>
      </c>
      <c r="Z168" s="10">
        <v>0.82</v>
      </c>
      <c r="AA168" s="6">
        <v>0.38240000000000002</v>
      </c>
      <c r="AB168" s="102">
        <v>150943</v>
      </c>
      <c r="AC168">
        <v>1.1299999999999999</v>
      </c>
      <c r="AD168" s="10">
        <v>1525</v>
      </c>
      <c r="AE168">
        <v>7375</v>
      </c>
      <c r="AF168" s="10">
        <v>1.1000000000000001</v>
      </c>
    </row>
    <row r="169" spans="1:32" ht="16" customHeight="1" x14ac:dyDescent="0.25">
      <c r="A169" s="105" t="s">
        <v>1257</v>
      </c>
      <c r="C169" s="3" t="s">
        <v>925</v>
      </c>
      <c r="D169" s="101">
        <v>42678</v>
      </c>
      <c r="E169" s="3" t="s">
        <v>816</v>
      </c>
      <c r="F169" s="3">
        <v>49.91</v>
      </c>
      <c r="G169" s="3" t="s">
        <v>3</v>
      </c>
      <c r="H169" s="3">
        <v>50.17</v>
      </c>
      <c r="I169" s="2">
        <v>50.17</v>
      </c>
      <c r="J169" s="4">
        <v>49.8</v>
      </c>
      <c r="K169" s="1">
        <v>-0.18</v>
      </c>
      <c r="L169" s="6">
        <v>-3.5999999999999999E-3</v>
      </c>
      <c r="M169" s="6">
        <v>-3.8300000000000001E-2</v>
      </c>
      <c r="N169" s="6">
        <v>2.9899999999999999E-2</v>
      </c>
      <c r="O169">
        <v>48.46</v>
      </c>
      <c r="P169">
        <v>51.9</v>
      </c>
      <c r="Q169" t="s">
        <v>3</v>
      </c>
      <c r="R169" s="9" t="s">
        <v>3</v>
      </c>
      <c r="S169" s="3" t="s">
        <v>3</v>
      </c>
      <c r="T169" s="3">
        <v>0</v>
      </c>
      <c r="U169" s="3" t="s">
        <v>3</v>
      </c>
      <c r="V169" s="3" t="s">
        <v>3</v>
      </c>
      <c r="W169" s="3" t="s">
        <v>3</v>
      </c>
      <c r="X169" s="10">
        <v>50.28</v>
      </c>
      <c r="Y169" s="6">
        <v>-7.4000000000000003E-3</v>
      </c>
      <c r="Z169" s="10">
        <v>50.5</v>
      </c>
      <c r="AA169" s="6">
        <v>-1.17E-2</v>
      </c>
      <c r="AB169" s="102">
        <v>6939</v>
      </c>
      <c r="AC169">
        <v>49.91</v>
      </c>
      <c r="AD169" s="10">
        <v>100</v>
      </c>
      <c r="AE169">
        <v>42927</v>
      </c>
      <c r="AF169" s="10">
        <v>50.09</v>
      </c>
    </row>
    <row r="170" spans="1:32" ht="16" customHeight="1" x14ac:dyDescent="0.25">
      <c r="A170" s="105" t="s">
        <v>1258</v>
      </c>
      <c r="C170" s="3" t="s">
        <v>926</v>
      </c>
      <c r="D170" s="101">
        <v>42678</v>
      </c>
      <c r="E170" s="3" t="s">
        <v>480</v>
      </c>
      <c r="F170" s="3">
        <v>0.12</v>
      </c>
      <c r="G170" s="3">
        <v>903913000</v>
      </c>
      <c r="H170" s="3">
        <v>0.12</v>
      </c>
      <c r="I170" s="2">
        <v>0.12</v>
      </c>
      <c r="J170" s="4">
        <v>0.12</v>
      </c>
      <c r="K170" s="1">
        <v>0</v>
      </c>
      <c r="L170" s="6">
        <v>0</v>
      </c>
      <c r="M170" s="6">
        <v>-0.2</v>
      </c>
      <c r="N170" s="6">
        <v>0.71430000000000005</v>
      </c>
      <c r="O170">
        <v>7.0000000000000007E-2</v>
      </c>
      <c r="P170">
        <v>0.15</v>
      </c>
      <c r="Q170" t="s">
        <v>927</v>
      </c>
      <c r="R170" s="9" t="s">
        <v>3</v>
      </c>
      <c r="S170" s="3" t="s">
        <v>3</v>
      </c>
      <c r="T170" s="3">
        <v>0</v>
      </c>
      <c r="U170" s="3">
        <v>0</v>
      </c>
      <c r="V170" s="3" t="s">
        <v>928</v>
      </c>
      <c r="W170" s="3" t="s">
        <v>3</v>
      </c>
      <c r="X170" s="10">
        <v>0.11</v>
      </c>
      <c r="Y170" s="6">
        <v>7.85E-2</v>
      </c>
      <c r="Z170" s="10">
        <v>0.1</v>
      </c>
      <c r="AA170" s="6">
        <v>0.155</v>
      </c>
      <c r="AB170" s="102">
        <v>1514460</v>
      </c>
      <c r="AC170">
        <v>0.12</v>
      </c>
      <c r="AD170" s="10">
        <v>10000</v>
      </c>
      <c r="AE170">
        <v>399059</v>
      </c>
      <c r="AF170" s="10">
        <v>0.12</v>
      </c>
    </row>
    <row r="171" spans="1:32" ht="16" customHeight="1" x14ac:dyDescent="0.25">
      <c r="A171" s="105" t="s">
        <v>1259</v>
      </c>
      <c r="C171" s="3" t="s">
        <v>929</v>
      </c>
      <c r="D171" s="101">
        <v>42678</v>
      </c>
      <c r="E171" s="3" t="s">
        <v>506</v>
      </c>
      <c r="F171" s="3">
        <v>0.69</v>
      </c>
      <c r="G171" s="3">
        <v>90724000</v>
      </c>
      <c r="H171" s="3">
        <v>0.73</v>
      </c>
      <c r="I171" s="2">
        <v>0.73</v>
      </c>
      <c r="J171" s="4">
        <v>0.69</v>
      </c>
      <c r="K171" s="1">
        <v>-0.02</v>
      </c>
      <c r="L171" s="107">
        <v>-3.5000000000000003E-2</v>
      </c>
      <c r="M171" s="6">
        <v>-0.2069</v>
      </c>
      <c r="N171" s="6">
        <v>2.3658999999999999</v>
      </c>
      <c r="O171">
        <v>0.2</v>
      </c>
      <c r="P171">
        <v>0.87</v>
      </c>
      <c r="Q171" t="s">
        <v>930</v>
      </c>
      <c r="R171" s="9">
        <v>115</v>
      </c>
      <c r="S171" s="3" t="s">
        <v>3</v>
      </c>
      <c r="T171" s="3">
        <v>0</v>
      </c>
      <c r="U171" s="3">
        <v>0.01</v>
      </c>
      <c r="V171" s="3">
        <v>136999</v>
      </c>
      <c r="W171" s="3" t="s">
        <v>3</v>
      </c>
      <c r="X171" s="10">
        <v>0.71</v>
      </c>
      <c r="Y171" s="6">
        <v>-3.1699999999999999E-2</v>
      </c>
      <c r="Z171" s="10">
        <v>0.56000000000000005</v>
      </c>
      <c r="AA171" s="6">
        <v>0.23569999999999999</v>
      </c>
      <c r="AB171" s="102">
        <v>213282</v>
      </c>
      <c r="AC171">
        <v>0.69</v>
      </c>
      <c r="AD171" s="10">
        <v>606</v>
      </c>
      <c r="AE171">
        <v>64500</v>
      </c>
      <c r="AF171" s="10">
        <v>0.71</v>
      </c>
    </row>
    <row r="172" spans="1:32" ht="16" customHeight="1" x14ac:dyDescent="0.25">
      <c r="A172" s="105" t="s">
        <v>1260</v>
      </c>
      <c r="C172" s="3" t="s">
        <v>931</v>
      </c>
      <c r="D172" s="101">
        <v>42678</v>
      </c>
      <c r="E172" s="3" t="s">
        <v>829</v>
      </c>
      <c r="F172" s="3">
        <v>0.6</v>
      </c>
      <c r="G172" s="3">
        <v>171800000</v>
      </c>
      <c r="H172" s="3">
        <v>0.59</v>
      </c>
      <c r="I172" s="2">
        <v>0.61</v>
      </c>
      <c r="J172" s="4">
        <v>0.56999999999999995</v>
      </c>
      <c r="K172" s="1">
        <v>0.01</v>
      </c>
      <c r="L172" s="6">
        <v>1.6899999999999998E-2</v>
      </c>
      <c r="M172" s="6">
        <v>-0.50209999999999999</v>
      </c>
      <c r="N172" s="6">
        <v>0.15379999999999999</v>
      </c>
      <c r="O172">
        <v>0.52</v>
      </c>
      <c r="P172">
        <v>1.21</v>
      </c>
      <c r="Q172" t="s">
        <v>932</v>
      </c>
      <c r="R172" s="9" t="s">
        <v>3</v>
      </c>
      <c r="S172" s="3" t="s">
        <v>3</v>
      </c>
      <c r="T172" s="3">
        <v>0</v>
      </c>
      <c r="U172" s="3">
        <v>-0.05</v>
      </c>
      <c r="V172" s="3" t="s">
        <v>933</v>
      </c>
      <c r="W172" s="3" t="s">
        <v>3</v>
      </c>
      <c r="X172" s="10">
        <v>0.65</v>
      </c>
      <c r="Y172" s="6">
        <v>-7.0199999999999999E-2</v>
      </c>
      <c r="Z172" s="10">
        <v>0.81</v>
      </c>
      <c r="AA172" s="6">
        <v>-0.25540000000000002</v>
      </c>
      <c r="AB172" s="102">
        <v>516945</v>
      </c>
      <c r="AC172">
        <v>0.6</v>
      </c>
      <c r="AD172" s="10">
        <v>5</v>
      </c>
      <c r="AE172">
        <v>74251</v>
      </c>
      <c r="AF172" s="10">
        <v>0.59</v>
      </c>
    </row>
    <row r="173" spans="1:32" ht="16" customHeight="1" x14ac:dyDescent="0.25">
      <c r="A173" s="105" t="s">
        <v>1261</v>
      </c>
      <c r="C173" s="3" t="s">
        <v>934</v>
      </c>
      <c r="D173" s="101">
        <v>42678</v>
      </c>
      <c r="E173" s="3" t="s">
        <v>935</v>
      </c>
      <c r="F173" s="3">
        <v>0.93500000000000005</v>
      </c>
      <c r="G173" s="3" t="s">
        <v>3</v>
      </c>
      <c r="H173" s="3">
        <v>0.93</v>
      </c>
      <c r="I173" s="2">
        <v>0.93500000000000005</v>
      </c>
      <c r="J173" s="4">
        <v>0.93</v>
      </c>
      <c r="K173" s="1">
        <v>0</v>
      </c>
      <c r="L173" s="6">
        <v>0</v>
      </c>
      <c r="M173" s="6">
        <v>-1.0580000000000001E-2</v>
      </c>
      <c r="N173" s="6">
        <v>0.30769000000000002</v>
      </c>
      <c r="O173">
        <v>0.71499999999999997</v>
      </c>
      <c r="P173">
        <v>0.94499999999999995</v>
      </c>
      <c r="Q173" t="s">
        <v>3</v>
      </c>
      <c r="R173" s="9" t="s">
        <v>3</v>
      </c>
      <c r="S173" s="3" t="s">
        <v>3</v>
      </c>
      <c r="T173" s="3">
        <v>0</v>
      </c>
      <c r="U173" s="3">
        <v>-2.7E-2</v>
      </c>
      <c r="V173" s="3">
        <v>0</v>
      </c>
      <c r="W173" s="3" t="s">
        <v>3</v>
      </c>
      <c r="X173" s="10">
        <v>1.05</v>
      </c>
      <c r="Y173" s="6">
        <v>-0.10952000000000001</v>
      </c>
      <c r="Z173" s="10">
        <v>0.996</v>
      </c>
      <c r="AA173" s="6">
        <v>-6.1699999999999998E-2</v>
      </c>
      <c r="AB173" s="102">
        <v>19543</v>
      </c>
      <c r="AC173">
        <v>0.93500000000000005</v>
      </c>
      <c r="AD173" s="10">
        <v>10000</v>
      </c>
      <c r="AE173">
        <v>16000</v>
      </c>
      <c r="AF173" s="10">
        <v>0.93500000000000005</v>
      </c>
    </row>
    <row r="174" spans="1:32" ht="16" customHeight="1" x14ac:dyDescent="0.25">
      <c r="A174" s="105" t="s">
        <v>1262</v>
      </c>
      <c r="C174" s="3" t="s">
        <v>936</v>
      </c>
      <c r="D174" s="101">
        <v>42678</v>
      </c>
      <c r="E174" s="3" t="s">
        <v>593</v>
      </c>
      <c r="F174" s="3">
        <v>0.32500000000000001</v>
      </c>
      <c r="G174" s="3">
        <v>261041000</v>
      </c>
      <c r="H174" s="3">
        <v>0.33</v>
      </c>
      <c r="I174" s="2">
        <v>0.33500000000000002</v>
      </c>
      <c r="J174" s="4">
        <v>0.32</v>
      </c>
      <c r="K174" s="1">
        <v>-5.0000000000000001E-3</v>
      </c>
      <c r="L174" s="6">
        <v>-1.515E-2</v>
      </c>
      <c r="M174" s="6">
        <v>-0.48</v>
      </c>
      <c r="N174" s="6">
        <v>8.3330000000000001E-2</v>
      </c>
      <c r="O174">
        <v>0.3</v>
      </c>
      <c r="P174">
        <v>0.625</v>
      </c>
      <c r="Q174" t="s">
        <v>937</v>
      </c>
      <c r="R174" s="9" t="s">
        <v>3</v>
      </c>
      <c r="S174" s="3" t="s">
        <v>3</v>
      </c>
      <c r="T174" s="3">
        <v>0</v>
      </c>
      <c r="U174" s="3">
        <v>-5.0000000000000001E-3</v>
      </c>
      <c r="V174" s="3" t="s">
        <v>938</v>
      </c>
      <c r="W174" s="3" t="s">
        <v>3</v>
      </c>
      <c r="X174" s="10">
        <v>0.36399999999999999</v>
      </c>
      <c r="Y174" s="6">
        <v>-0.10661</v>
      </c>
      <c r="Z174" s="10">
        <v>0.41099999999999998</v>
      </c>
      <c r="AA174" s="6">
        <v>-0.20852000000000001</v>
      </c>
      <c r="AB174" s="102">
        <v>586265</v>
      </c>
      <c r="AC174">
        <v>0.32500000000000001</v>
      </c>
      <c r="AD174" s="10">
        <v>597</v>
      </c>
      <c r="AE174">
        <v>103430</v>
      </c>
      <c r="AF174" s="10">
        <v>0.33</v>
      </c>
    </row>
    <row r="175" spans="1:32" ht="16" customHeight="1" x14ac:dyDescent="0.25">
      <c r="A175" s="105" t="s">
        <v>1263</v>
      </c>
      <c r="C175" s="3" t="s">
        <v>939</v>
      </c>
      <c r="D175" s="101">
        <v>42678</v>
      </c>
      <c r="E175" s="3" t="s">
        <v>940</v>
      </c>
      <c r="F175" s="3">
        <v>0.41499999999999998</v>
      </c>
      <c r="G175" s="3">
        <v>150824000</v>
      </c>
      <c r="H175" s="3">
        <v>0.41499999999999998</v>
      </c>
      <c r="I175" s="2">
        <v>0.41499999999999998</v>
      </c>
      <c r="J175" s="4">
        <v>0.41499999999999998</v>
      </c>
      <c r="K175" s="1">
        <v>3.0000000000000001E-3</v>
      </c>
      <c r="L175" s="6">
        <v>7.28E-3</v>
      </c>
      <c r="M175" s="6">
        <v>-0.23147999999999999</v>
      </c>
      <c r="N175" s="6">
        <v>7.28E-3</v>
      </c>
      <c r="O175">
        <v>0.41199999999999998</v>
      </c>
      <c r="P175">
        <v>0.54</v>
      </c>
      <c r="Q175" t="s">
        <v>941</v>
      </c>
      <c r="R175" s="9">
        <v>14.821</v>
      </c>
      <c r="S175" s="3" t="s">
        <v>3</v>
      </c>
      <c r="T175" s="3">
        <v>0</v>
      </c>
      <c r="U175" s="3">
        <v>2.8000000000000001E-2</v>
      </c>
      <c r="V175" s="3" t="s">
        <v>942</v>
      </c>
      <c r="W175" s="3" t="s">
        <v>3</v>
      </c>
      <c r="X175" s="10">
        <v>0.439</v>
      </c>
      <c r="Y175" s="6">
        <v>-5.5719999999999999E-2</v>
      </c>
      <c r="Z175" s="10">
        <v>0.46500000000000002</v>
      </c>
      <c r="AA175" s="6">
        <v>-0.1079</v>
      </c>
      <c r="AB175" s="102">
        <v>170369</v>
      </c>
      <c r="AC175">
        <v>0.41499999999999998</v>
      </c>
      <c r="AD175" s="10">
        <v>14286</v>
      </c>
      <c r="AE175">
        <v>19046</v>
      </c>
      <c r="AF175" s="10">
        <v>0.41199999999999998</v>
      </c>
    </row>
    <row r="176" spans="1:32" ht="16" customHeight="1" x14ac:dyDescent="0.25">
      <c r="A176" s="105" t="s">
        <v>1264</v>
      </c>
      <c r="C176" s="3" t="s">
        <v>943</v>
      </c>
      <c r="D176" s="101">
        <v>42678</v>
      </c>
      <c r="E176" s="3" t="s">
        <v>944</v>
      </c>
      <c r="F176" s="3">
        <v>2.15</v>
      </c>
      <c r="G176" s="3" t="s">
        <v>3</v>
      </c>
      <c r="H176" s="3">
        <v>2.15</v>
      </c>
      <c r="I176" s="2">
        <v>2.15</v>
      </c>
      <c r="J176" s="4">
        <v>2.15</v>
      </c>
      <c r="K176" s="1">
        <v>-0.01</v>
      </c>
      <c r="L176" s="6">
        <v>-4.5999999999999999E-3</v>
      </c>
      <c r="M176" s="6">
        <v>-0.16339999999999999</v>
      </c>
      <c r="N176" s="6">
        <v>3.3700000000000001E-2</v>
      </c>
      <c r="O176">
        <v>2.08</v>
      </c>
      <c r="P176">
        <v>2.57</v>
      </c>
      <c r="Q176" t="s">
        <v>3</v>
      </c>
      <c r="R176" s="9" t="s">
        <v>3</v>
      </c>
      <c r="S176" s="3" t="s">
        <v>3</v>
      </c>
      <c r="T176" s="3">
        <v>0</v>
      </c>
      <c r="U176" s="3" t="s">
        <v>3</v>
      </c>
      <c r="V176" s="3">
        <v>0</v>
      </c>
      <c r="W176" s="3" t="s">
        <v>3</v>
      </c>
      <c r="X176" s="10">
        <v>2.11</v>
      </c>
      <c r="Y176" s="6">
        <v>2.01E-2</v>
      </c>
      <c r="Z176" s="10">
        <v>2.13</v>
      </c>
      <c r="AA176" s="6">
        <v>9.5999999999999992E-3</v>
      </c>
      <c r="AB176" s="102">
        <v>2541</v>
      </c>
      <c r="AC176">
        <v>2.15</v>
      </c>
      <c r="AD176" s="10">
        <v>6977</v>
      </c>
      <c r="AE176">
        <v>6977</v>
      </c>
      <c r="AF176" s="10">
        <v>2.16</v>
      </c>
    </row>
    <row r="177" spans="1:32" ht="16" customHeight="1" x14ac:dyDescent="0.25">
      <c r="A177" s="105" t="s">
        <v>1265</v>
      </c>
      <c r="C177" s="3" t="s">
        <v>945</v>
      </c>
      <c r="D177" s="101">
        <v>42678</v>
      </c>
      <c r="E177" s="3" t="s">
        <v>946</v>
      </c>
      <c r="F177" s="3">
        <v>1.91</v>
      </c>
      <c r="G177" s="3">
        <v>50113000</v>
      </c>
      <c r="H177" s="3">
        <v>1.94</v>
      </c>
      <c r="I177" s="2">
        <v>1.95</v>
      </c>
      <c r="J177" s="4">
        <v>1.91</v>
      </c>
      <c r="K177" s="1">
        <v>-0.04</v>
      </c>
      <c r="L177" s="6">
        <v>-2.0500000000000001E-2</v>
      </c>
      <c r="M177" s="6">
        <v>-0.16589999999999999</v>
      </c>
      <c r="N177" s="6">
        <v>0.91</v>
      </c>
      <c r="O177">
        <v>1</v>
      </c>
      <c r="P177">
        <v>2.29</v>
      </c>
      <c r="Q177" t="s">
        <v>947</v>
      </c>
      <c r="R177" s="9" t="s">
        <v>3</v>
      </c>
      <c r="S177" s="3" t="s">
        <v>3</v>
      </c>
      <c r="T177" s="3">
        <v>4</v>
      </c>
      <c r="U177" s="3">
        <v>-0.46</v>
      </c>
      <c r="V177" s="3" t="s">
        <v>948</v>
      </c>
      <c r="W177" s="3" t="s">
        <v>3</v>
      </c>
      <c r="X177" s="10">
        <v>1.96</v>
      </c>
      <c r="Y177" s="6">
        <v>-2.7300000000000001E-2</v>
      </c>
      <c r="Z177" s="10">
        <v>1.86</v>
      </c>
      <c r="AA177" s="6">
        <v>2.4199999999999999E-2</v>
      </c>
      <c r="AB177" s="102">
        <v>71757</v>
      </c>
      <c r="AC177">
        <v>1.91</v>
      </c>
      <c r="AD177" s="10">
        <v>3500</v>
      </c>
      <c r="AE177">
        <v>12577</v>
      </c>
      <c r="AF177" s="10">
        <v>1.95</v>
      </c>
    </row>
    <row r="178" spans="1:32" ht="16" customHeight="1" x14ac:dyDescent="0.25">
      <c r="A178" s="105" t="s">
        <v>1266</v>
      </c>
      <c r="C178" s="3" t="s">
        <v>949</v>
      </c>
      <c r="D178" s="101">
        <v>42678</v>
      </c>
      <c r="E178" s="3" t="s">
        <v>464</v>
      </c>
      <c r="F178" s="3">
        <v>1.2999999999999999E-2</v>
      </c>
      <c r="G178" s="3">
        <v>5290222000</v>
      </c>
      <c r="H178" s="3">
        <v>1.4E-2</v>
      </c>
      <c r="I178" s="2">
        <v>1.4E-2</v>
      </c>
      <c r="J178" s="4">
        <v>1.2999999999999999E-2</v>
      </c>
      <c r="K178" s="1">
        <v>0</v>
      </c>
      <c r="L178" s="6">
        <v>0</v>
      </c>
      <c r="M178" s="6">
        <v>-0.63888999999999996</v>
      </c>
      <c r="N178" s="6">
        <v>0.625</v>
      </c>
      <c r="O178">
        <v>8.0000000000000002E-3</v>
      </c>
      <c r="P178">
        <v>3.5999999999999997E-2</v>
      </c>
      <c r="Q178" t="s">
        <v>950</v>
      </c>
      <c r="R178" s="9" t="s">
        <v>3</v>
      </c>
      <c r="S178" s="3" t="s">
        <v>3</v>
      </c>
      <c r="T178" s="3">
        <v>0</v>
      </c>
      <c r="U178" s="3">
        <v>-4.4999999999999998E-2</v>
      </c>
      <c r="V178" s="3" t="s">
        <v>951</v>
      </c>
      <c r="W178" s="3" t="s">
        <v>3</v>
      </c>
      <c r="X178" s="10">
        <v>1.0999999999999999E-2</v>
      </c>
      <c r="Y178" s="6">
        <v>0.23018</v>
      </c>
      <c r="Z178" s="10">
        <v>1.2999999999999999E-2</v>
      </c>
      <c r="AA178" s="6">
        <v>3.1399999999999997E-2</v>
      </c>
      <c r="AB178" s="102">
        <v>33991300</v>
      </c>
      <c r="AC178">
        <v>1.2999999999999999E-2</v>
      </c>
      <c r="AD178" s="10">
        <v>20000</v>
      </c>
      <c r="AE178">
        <v>39640729</v>
      </c>
      <c r="AF178" s="10">
        <v>1.2999999999999999E-2</v>
      </c>
    </row>
    <row r="179" spans="1:32" ht="16" customHeight="1" x14ac:dyDescent="0.25">
      <c r="A179" s="105" t="s">
        <v>1267</v>
      </c>
      <c r="C179" s="3" t="s">
        <v>952</v>
      </c>
      <c r="D179" s="101">
        <v>42678</v>
      </c>
      <c r="E179" s="3" t="s">
        <v>619</v>
      </c>
      <c r="F179" s="3">
        <v>0.16</v>
      </c>
      <c r="G179" s="3">
        <v>221618000</v>
      </c>
      <c r="H179" s="3">
        <v>0.16</v>
      </c>
      <c r="I179" s="2">
        <v>0.16</v>
      </c>
      <c r="J179" s="4">
        <v>0.16</v>
      </c>
      <c r="K179" s="1">
        <v>0</v>
      </c>
      <c r="L179" s="6">
        <v>0</v>
      </c>
      <c r="M179" s="6">
        <v>-0.68</v>
      </c>
      <c r="N179" s="6">
        <v>6.6699999999999995E-2</v>
      </c>
      <c r="O179">
        <v>0.15</v>
      </c>
      <c r="P179">
        <v>0.5</v>
      </c>
      <c r="Q179" t="s">
        <v>953</v>
      </c>
      <c r="R179" s="9">
        <v>3.33</v>
      </c>
      <c r="S179" s="3" t="s">
        <v>3</v>
      </c>
      <c r="T179" s="3">
        <v>0</v>
      </c>
      <c r="U179" s="3">
        <v>0.05</v>
      </c>
      <c r="V179" s="3" t="s">
        <v>954</v>
      </c>
      <c r="W179" s="3" t="s">
        <v>3</v>
      </c>
      <c r="X179" s="10">
        <v>0.16</v>
      </c>
      <c r="Y179" s="6">
        <v>-2.23E-2</v>
      </c>
      <c r="Z179" s="10">
        <v>0.19</v>
      </c>
      <c r="AA179" s="6">
        <v>-0.1779</v>
      </c>
      <c r="AB179" s="102">
        <v>108237</v>
      </c>
      <c r="AC179">
        <v>0.16</v>
      </c>
      <c r="AD179" s="10">
        <v>5000</v>
      </c>
      <c r="AE179">
        <v>5000</v>
      </c>
      <c r="AF179" s="10">
        <v>0.16</v>
      </c>
    </row>
    <row r="180" spans="1:32" ht="16" customHeight="1" x14ac:dyDescent="0.25">
      <c r="A180" s="105" t="s">
        <v>1268</v>
      </c>
      <c r="C180" s="3" t="s">
        <v>955</v>
      </c>
      <c r="D180" s="101">
        <v>42678</v>
      </c>
      <c r="E180" s="3" t="s">
        <v>956</v>
      </c>
      <c r="F180" s="3">
        <v>2.5999999999999999E-2</v>
      </c>
      <c r="G180" s="3">
        <v>426315000</v>
      </c>
      <c r="H180" s="3">
        <v>2.7E-2</v>
      </c>
      <c r="I180" s="2">
        <v>2.7E-2</v>
      </c>
      <c r="J180" s="4">
        <v>2.5999999999999999E-2</v>
      </c>
      <c r="K180" s="1">
        <v>-1E-3</v>
      </c>
      <c r="L180" s="6">
        <v>-3.7039999999999997E-2</v>
      </c>
      <c r="M180" s="6">
        <v>-0.16128999999999999</v>
      </c>
      <c r="N180" s="6">
        <v>1.88889</v>
      </c>
      <c r="O180">
        <v>8.9999999999999993E-3</v>
      </c>
      <c r="P180">
        <v>3.1E-2</v>
      </c>
      <c r="Q180" t="s">
        <v>957</v>
      </c>
      <c r="R180" s="9" t="s">
        <v>3</v>
      </c>
      <c r="S180" s="3" t="s">
        <v>3</v>
      </c>
      <c r="T180" s="3">
        <v>0</v>
      </c>
      <c r="U180" s="3">
        <v>-2E-3</v>
      </c>
      <c r="V180" s="3" t="s">
        <v>958</v>
      </c>
      <c r="W180" s="3" t="s">
        <v>3</v>
      </c>
      <c r="X180" s="10">
        <v>2.5000000000000001E-2</v>
      </c>
      <c r="Y180" s="6">
        <v>2.0150000000000001E-2</v>
      </c>
      <c r="Z180" s="10">
        <v>2.1999999999999999E-2</v>
      </c>
      <c r="AA180" s="6">
        <v>0.20116000000000001</v>
      </c>
      <c r="AB180" s="102">
        <v>1130650</v>
      </c>
      <c r="AC180">
        <v>2.5999999999999999E-2</v>
      </c>
      <c r="AD180" s="10">
        <v>212872</v>
      </c>
      <c r="AE180">
        <v>550000</v>
      </c>
      <c r="AF180" s="10">
        <v>2.7E-2</v>
      </c>
    </row>
    <row r="181" spans="1:32" ht="16" customHeight="1" x14ac:dyDescent="0.25">
      <c r="A181" s="105" t="s">
        <v>1269</v>
      </c>
      <c r="C181" s="3" t="s">
        <v>959</v>
      </c>
      <c r="D181" s="101">
        <v>42678</v>
      </c>
      <c r="E181" s="3" t="s">
        <v>593</v>
      </c>
      <c r="F181" s="3">
        <v>0.68500000000000005</v>
      </c>
      <c r="G181" s="3" t="s">
        <v>3</v>
      </c>
      <c r="H181" s="3">
        <v>0.67500000000000004</v>
      </c>
      <c r="I181" s="2">
        <v>0.68500000000000005</v>
      </c>
      <c r="J181" s="4">
        <v>0.67500000000000004</v>
      </c>
      <c r="K181" s="1">
        <v>0</v>
      </c>
      <c r="L181" s="107">
        <v>0</v>
      </c>
      <c r="M181" s="6">
        <v>-8.6669999999999997E-2</v>
      </c>
      <c r="N181" s="6">
        <v>0.41237000000000001</v>
      </c>
      <c r="O181">
        <v>0.48499999999999999</v>
      </c>
      <c r="P181">
        <v>0.75</v>
      </c>
      <c r="Q181" t="s">
        <v>3</v>
      </c>
      <c r="R181" s="9" t="s">
        <v>3</v>
      </c>
      <c r="S181" s="3" t="s">
        <v>3</v>
      </c>
      <c r="T181" s="3">
        <v>0</v>
      </c>
      <c r="U181" s="3">
        <v>9.8000000000000004E-2</v>
      </c>
      <c r="V181" s="3">
        <v>0</v>
      </c>
      <c r="W181" s="3" t="s">
        <v>3</v>
      </c>
      <c r="X181" s="10">
        <v>0.68600000000000005</v>
      </c>
      <c r="Y181" s="6">
        <v>-1.7700000000000001E-3</v>
      </c>
      <c r="Z181" s="10">
        <v>0.60799999999999998</v>
      </c>
      <c r="AA181" s="6">
        <v>0.12629000000000001</v>
      </c>
      <c r="AB181" s="102">
        <v>116027</v>
      </c>
      <c r="AC181">
        <v>0.68500000000000005</v>
      </c>
      <c r="AD181" s="10">
        <v>1897</v>
      </c>
      <c r="AE181">
        <v>30897</v>
      </c>
      <c r="AF181" s="10">
        <v>0.68500000000000005</v>
      </c>
    </row>
    <row r="182" spans="1:32" ht="16" customHeight="1" x14ac:dyDescent="0.25">
      <c r="A182" s="105" t="s">
        <v>1270</v>
      </c>
      <c r="C182" s="3" t="s">
        <v>960</v>
      </c>
      <c r="D182" s="101">
        <v>42678</v>
      </c>
      <c r="E182" s="3" t="s">
        <v>431</v>
      </c>
      <c r="F182" s="3">
        <v>0.125</v>
      </c>
      <c r="G182" s="3">
        <v>623352000</v>
      </c>
      <c r="H182" s="3">
        <v>0.1</v>
      </c>
      <c r="I182" s="2">
        <v>0.125</v>
      </c>
      <c r="J182" s="4">
        <v>0.1</v>
      </c>
      <c r="K182" s="1">
        <v>2.5000000000000001E-2</v>
      </c>
      <c r="L182" s="6">
        <v>0.25</v>
      </c>
      <c r="M182" s="6">
        <v>-0.35897000000000001</v>
      </c>
      <c r="N182" s="6">
        <v>0.73611000000000004</v>
      </c>
      <c r="O182">
        <v>7.1999999999999995E-2</v>
      </c>
      <c r="P182">
        <v>0.19500000000000001</v>
      </c>
      <c r="Q182" t="s">
        <v>961</v>
      </c>
      <c r="R182" s="9">
        <v>125</v>
      </c>
      <c r="S182" s="3" t="s">
        <v>3</v>
      </c>
      <c r="T182" s="3">
        <v>0</v>
      </c>
      <c r="U182" s="3">
        <v>1E-3</v>
      </c>
      <c r="V182" s="3" t="s">
        <v>962</v>
      </c>
      <c r="W182" s="3" t="s">
        <v>3</v>
      </c>
      <c r="X182" s="10">
        <v>0.10299999999999999</v>
      </c>
      <c r="Y182" s="6">
        <v>0.21296000000000001</v>
      </c>
      <c r="Z182" s="10">
        <v>0.11799999999999999</v>
      </c>
      <c r="AA182" s="6">
        <v>5.9200000000000003E-2</v>
      </c>
      <c r="AB182" s="102">
        <v>94871</v>
      </c>
      <c r="AC182">
        <v>0.125</v>
      </c>
      <c r="AD182" s="10">
        <v>2559</v>
      </c>
      <c r="AE182">
        <v>412002</v>
      </c>
      <c r="AF182" s="10">
        <v>0.1</v>
      </c>
    </row>
    <row r="183" spans="1:32" ht="16" customHeight="1" x14ac:dyDescent="0.25">
      <c r="A183" s="105" t="s">
        <v>1271</v>
      </c>
      <c r="C183" s="3" t="s">
        <v>963</v>
      </c>
      <c r="D183" s="101">
        <v>42678</v>
      </c>
      <c r="E183" s="3" t="s">
        <v>964</v>
      </c>
      <c r="F183" s="3">
        <v>0.51</v>
      </c>
      <c r="G183" s="3">
        <v>190818000</v>
      </c>
      <c r="H183" s="3">
        <v>0.5</v>
      </c>
      <c r="I183" s="2">
        <v>0.51</v>
      </c>
      <c r="J183" s="4">
        <v>0.5</v>
      </c>
      <c r="K183" s="1">
        <v>0.01</v>
      </c>
      <c r="L183" s="6">
        <v>0.02</v>
      </c>
      <c r="M183" s="6">
        <v>-0.27660000000000001</v>
      </c>
      <c r="N183" s="6">
        <v>5.1499999999999997E-2</v>
      </c>
      <c r="O183">
        <v>0.49</v>
      </c>
      <c r="P183">
        <v>0.7</v>
      </c>
      <c r="Q183" t="s">
        <v>965</v>
      </c>
      <c r="R183" s="9">
        <v>3.59</v>
      </c>
      <c r="S183" s="3" t="s">
        <v>3</v>
      </c>
      <c r="T183" s="3">
        <v>0</v>
      </c>
      <c r="U183" s="3">
        <v>0.14000000000000001</v>
      </c>
      <c r="V183" s="3" t="s">
        <v>966</v>
      </c>
      <c r="W183" s="3" t="s">
        <v>3</v>
      </c>
      <c r="X183" s="10">
        <v>0.53</v>
      </c>
      <c r="Y183" s="6">
        <v>-3.0099999999999998E-2</v>
      </c>
      <c r="Z183" s="10">
        <v>0.56000000000000005</v>
      </c>
      <c r="AA183" s="6">
        <v>-9.1800000000000007E-2</v>
      </c>
      <c r="AB183" s="102">
        <v>39005</v>
      </c>
      <c r="AC183">
        <v>0.51</v>
      </c>
      <c r="AD183" s="10">
        <v>1900</v>
      </c>
      <c r="AE183">
        <v>4400</v>
      </c>
      <c r="AF183" s="10">
        <v>0.5</v>
      </c>
    </row>
    <row r="184" spans="1:32" ht="16" customHeight="1" x14ac:dyDescent="0.25">
      <c r="A184" s="105" t="s">
        <v>1272</v>
      </c>
      <c r="C184" s="3" t="s">
        <v>967</v>
      </c>
      <c r="D184" s="101">
        <v>42675</v>
      </c>
      <c r="E184" s="3" t="s">
        <v>968</v>
      </c>
      <c r="F184" s="3">
        <v>0.17499999999999999</v>
      </c>
      <c r="G184" s="3">
        <v>507722000</v>
      </c>
      <c r="H184" s="3">
        <v>0.17499999999999999</v>
      </c>
      <c r="I184" s="2">
        <v>0.17499999999999999</v>
      </c>
      <c r="J184" s="4">
        <v>0.17499999999999999</v>
      </c>
      <c r="K184" s="1">
        <v>0</v>
      </c>
      <c r="L184" s="6">
        <v>0</v>
      </c>
      <c r="M184" s="6">
        <v>-7.8950000000000006E-2</v>
      </c>
      <c r="N184" s="6">
        <v>0.66666999999999998</v>
      </c>
      <c r="O184">
        <v>0.105</v>
      </c>
      <c r="P184">
        <v>0.19</v>
      </c>
      <c r="Q184" t="s">
        <v>969</v>
      </c>
      <c r="R184" s="9" t="s">
        <v>3</v>
      </c>
      <c r="S184" s="3" t="s">
        <v>3</v>
      </c>
      <c r="T184" s="3">
        <v>-0.8</v>
      </c>
      <c r="U184" s="3">
        <v>-3.1E-2</v>
      </c>
      <c r="V184" s="3" t="s">
        <v>970</v>
      </c>
      <c r="W184" s="3" t="s">
        <v>3</v>
      </c>
      <c r="X184" s="10">
        <v>0.17599999999999999</v>
      </c>
      <c r="Y184" s="6">
        <v>-4.6100000000000004E-3</v>
      </c>
      <c r="Z184" s="10">
        <v>0.16700000000000001</v>
      </c>
      <c r="AA184" s="6">
        <v>4.752E-2</v>
      </c>
      <c r="AB184" s="102">
        <v>138310</v>
      </c>
      <c r="AC184">
        <v>0.17499999999999999</v>
      </c>
      <c r="AD184" s="10">
        <v>15000</v>
      </c>
      <c r="AE184">
        <v>280000</v>
      </c>
      <c r="AF184" s="10">
        <v>0.17499999999999999</v>
      </c>
    </row>
    <row r="185" spans="1:32" ht="16" customHeight="1" x14ac:dyDescent="0.25">
      <c r="A185" s="105" t="s">
        <v>1273</v>
      </c>
      <c r="C185" s="3" t="s">
        <v>971</v>
      </c>
      <c r="D185" s="101">
        <v>42678</v>
      </c>
      <c r="E185" s="3" t="s">
        <v>916</v>
      </c>
      <c r="F185" s="3">
        <v>0.34499999999999997</v>
      </c>
      <c r="G185" s="3">
        <v>118630000</v>
      </c>
      <c r="H185" s="3">
        <v>0.35</v>
      </c>
      <c r="I185" s="2">
        <v>0.35</v>
      </c>
      <c r="J185" s="4">
        <v>0.34499999999999997</v>
      </c>
      <c r="K185" s="1">
        <v>-5.0000000000000001E-3</v>
      </c>
      <c r="L185" s="6">
        <v>-1.4290000000000001E-2</v>
      </c>
      <c r="M185" s="6">
        <v>-0.67142999999999997</v>
      </c>
      <c r="N185" s="6">
        <v>1.4710000000000001E-2</v>
      </c>
      <c r="O185">
        <v>0.34</v>
      </c>
      <c r="P185">
        <v>1.05</v>
      </c>
      <c r="Q185" t="s">
        <v>972</v>
      </c>
      <c r="R185" s="9">
        <v>18.158000000000001</v>
      </c>
      <c r="S185" s="3" t="s">
        <v>3</v>
      </c>
      <c r="T185" s="3">
        <v>0</v>
      </c>
      <c r="U185" s="3">
        <v>1.9E-2</v>
      </c>
      <c r="V185" s="3" t="s">
        <v>973</v>
      </c>
      <c r="W185" s="3" t="s">
        <v>3</v>
      </c>
      <c r="X185" s="10">
        <v>0.41499999999999998</v>
      </c>
      <c r="Y185" s="6">
        <v>-0.16786000000000001</v>
      </c>
      <c r="Z185" s="10">
        <v>0.47599999999999998</v>
      </c>
      <c r="AA185" s="6">
        <v>-0.27579999999999999</v>
      </c>
      <c r="AB185" s="102">
        <v>67574</v>
      </c>
      <c r="AC185">
        <v>0.34499999999999997</v>
      </c>
      <c r="AD185" s="10">
        <v>8000</v>
      </c>
      <c r="AE185">
        <v>16000</v>
      </c>
      <c r="AF185" s="10">
        <v>0.35</v>
      </c>
    </row>
    <row r="186" spans="1:32" ht="16" customHeight="1" x14ac:dyDescent="0.25">
      <c r="A186" s="105" t="s">
        <v>1274</v>
      </c>
      <c r="C186" s="3" t="s">
        <v>974</v>
      </c>
      <c r="D186" s="101">
        <v>42678</v>
      </c>
      <c r="E186" s="3" t="s">
        <v>975</v>
      </c>
      <c r="F186" s="3">
        <v>0.95</v>
      </c>
      <c r="G186" s="3">
        <v>47593000</v>
      </c>
      <c r="H186" s="3">
        <v>0.95</v>
      </c>
      <c r="I186" s="2">
        <v>0.95</v>
      </c>
      <c r="J186" s="4">
        <v>0.95</v>
      </c>
      <c r="K186" s="1">
        <v>-0.01</v>
      </c>
      <c r="L186" s="6">
        <v>-1.55E-2</v>
      </c>
      <c r="M186" s="6">
        <v>-0.17749999999999999</v>
      </c>
      <c r="N186" s="6">
        <v>1.1348</v>
      </c>
      <c r="O186">
        <v>0.44</v>
      </c>
      <c r="P186">
        <v>1.1499999999999999</v>
      </c>
      <c r="Q186" t="s">
        <v>976</v>
      </c>
      <c r="R186" s="9">
        <v>14.84</v>
      </c>
      <c r="S186" s="3" t="s">
        <v>3</v>
      </c>
      <c r="T186" s="3">
        <v>0</v>
      </c>
      <c r="U186" s="3">
        <v>0.06</v>
      </c>
      <c r="V186" s="3" t="s">
        <v>977</v>
      </c>
      <c r="W186" s="3" t="s">
        <v>3</v>
      </c>
      <c r="X186" s="10">
        <v>0.98</v>
      </c>
      <c r="Y186" s="6">
        <v>-3.2899999999999999E-2</v>
      </c>
      <c r="Z186" s="10">
        <v>0.7</v>
      </c>
      <c r="AA186" s="6">
        <v>0.35449999999999998</v>
      </c>
      <c r="AB186" s="102">
        <v>196907</v>
      </c>
      <c r="AC186">
        <v>0.95</v>
      </c>
      <c r="AD186" s="10">
        <v>4329</v>
      </c>
      <c r="AE186">
        <v>99898</v>
      </c>
      <c r="AF186" s="10">
        <v>0.96</v>
      </c>
    </row>
    <row r="187" spans="1:32" ht="16" customHeight="1" x14ac:dyDescent="0.25">
      <c r="A187" s="105" t="s">
        <v>1275</v>
      </c>
      <c r="C187" s="3" t="s">
        <v>978</v>
      </c>
      <c r="D187" s="101">
        <v>42678</v>
      </c>
      <c r="E187" s="3" t="s">
        <v>979</v>
      </c>
      <c r="F187" s="3">
        <v>0.38</v>
      </c>
      <c r="G187" s="3">
        <v>141083000</v>
      </c>
      <c r="H187" s="3">
        <v>0.37</v>
      </c>
      <c r="I187" s="2">
        <v>0.38</v>
      </c>
      <c r="J187" s="4">
        <v>0.35</v>
      </c>
      <c r="K187" s="1">
        <v>0</v>
      </c>
      <c r="L187" s="6">
        <v>-1.2999999999999999E-2</v>
      </c>
      <c r="M187" s="6">
        <v>-0.12640000000000001</v>
      </c>
      <c r="N187" s="6">
        <v>0.434</v>
      </c>
      <c r="O187">
        <v>0.26</v>
      </c>
      <c r="P187">
        <v>0.44</v>
      </c>
      <c r="Q187" t="s">
        <v>980</v>
      </c>
      <c r="R187" s="9">
        <v>11.18</v>
      </c>
      <c r="S187" s="3" t="s">
        <v>3</v>
      </c>
      <c r="T187" s="3">
        <v>0</v>
      </c>
      <c r="U187" s="3">
        <v>0.03</v>
      </c>
      <c r="V187" s="3" t="s">
        <v>981</v>
      </c>
      <c r="W187" s="3" t="s">
        <v>3</v>
      </c>
      <c r="X187" s="10">
        <v>0.4</v>
      </c>
      <c r="Y187" s="6">
        <v>-4.7600000000000003E-2</v>
      </c>
      <c r="Z187" s="10">
        <v>0.36</v>
      </c>
      <c r="AA187" s="6">
        <v>4.4600000000000001E-2</v>
      </c>
      <c r="AB187" s="102">
        <v>247078</v>
      </c>
      <c r="AC187">
        <v>0.38</v>
      </c>
      <c r="AD187" s="10">
        <v>436</v>
      </c>
      <c r="AE187">
        <v>309435</v>
      </c>
      <c r="AF187" s="10">
        <v>0.38</v>
      </c>
    </row>
    <row r="188" spans="1:32" ht="16" customHeight="1" x14ac:dyDescent="0.25">
      <c r="A188" s="105" t="s">
        <v>1276</v>
      </c>
      <c r="C188" s="3" t="s">
        <v>982</v>
      </c>
      <c r="D188" s="101">
        <v>42678</v>
      </c>
      <c r="E188" s="3" t="s">
        <v>593</v>
      </c>
      <c r="F188" s="3">
        <v>0.245</v>
      </c>
      <c r="G188" s="3">
        <v>336197000</v>
      </c>
      <c r="H188" s="3">
        <v>0.255</v>
      </c>
      <c r="I188" s="2">
        <v>0.255</v>
      </c>
      <c r="J188" s="4">
        <v>0.24</v>
      </c>
      <c r="K188" s="1">
        <v>-0.01</v>
      </c>
      <c r="L188" s="6">
        <v>-3.9219999999999998E-2</v>
      </c>
      <c r="M188" s="6">
        <v>-0.44318000000000002</v>
      </c>
      <c r="N188" s="6">
        <v>2.0830000000000001E-2</v>
      </c>
      <c r="O188">
        <v>0.24</v>
      </c>
      <c r="P188">
        <v>0.44</v>
      </c>
      <c r="Q188" t="s">
        <v>983</v>
      </c>
      <c r="R188" s="9">
        <v>22.273</v>
      </c>
      <c r="S188" s="3" t="s">
        <v>3</v>
      </c>
      <c r="T188" s="3">
        <v>0</v>
      </c>
      <c r="U188" s="3">
        <v>1.0999999999999999E-2</v>
      </c>
      <c r="V188" s="3" t="s">
        <v>984</v>
      </c>
      <c r="W188" s="3" t="s">
        <v>3</v>
      </c>
      <c r="X188" s="10">
        <v>0.28199999999999997</v>
      </c>
      <c r="Y188" s="6">
        <v>-0.13150000000000001</v>
      </c>
      <c r="Z188" s="10">
        <v>0.31900000000000001</v>
      </c>
      <c r="AA188" s="6">
        <v>-0.23283999999999999</v>
      </c>
      <c r="AB188" s="102">
        <v>939750</v>
      </c>
      <c r="AC188">
        <v>0.245</v>
      </c>
      <c r="AD188" s="10">
        <v>6589</v>
      </c>
      <c r="AE188">
        <v>1327013</v>
      </c>
      <c r="AF188" s="10">
        <v>0.255</v>
      </c>
    </row>
    <row r="189" spans="1:32" ht="16" customHeight="1" x14ac:dyDescent="0.25">
      <c r="A189" s="105" t="s">
        <v>1277</v>
      </c>
      <c r="C189" s="3" t="s">
        <v>985</v>
      </c>
      <c r="D189" s="101">
        <v>42678</v>
      </c>
      <c r="E189" s="3" t="s">
        <v>691</v>
      </c>
      <c r="F189" s="3">
        <v>21.29</v>
      </c>
      <c r="G189" s="3" t="s">
        <v>3</v>
      </c>
      <c r="H189" s="3">
        <v>21.32</v>
      </c>
      <c r="I189" s="2">
        <v>21.35</v>
      </c>
      <c r="J189" s="4">
        <v>21.26</v>
      </c>
      <c r="K189" s="1">
        <v>-0.12</v>
      </c>
      <c r="L189" s="6">
        <v>-5.5999999999999999E-3</v>
      </c>
      <c r="M189" s="6">
        <v>-7.5999999999999998E-2</v>
      </c>
      <c r="N189" s="6">
        <v>8.3500000000000005E-2</v>
      </c>
      <c r="O189">
        <v>19.649999999999999</v>
      </c>
      <c r="P189">
        <v>23.04</v>
      </c>
      <c r="Q189" t="s">
        <v>3</v>
      </c>
      <c r="R189" s="9" t="s">
        <v>3</v>
      </c>
      <c r="S189" s="3" t="s">
        <v>3</v>
      </c>
      <c r="T189" s="3">
        <v>0</v>
      </c>
      <c r="U189" s="3" t="s">
        <v>3</v>
      </c>
      <c r="V189" s="3" t="s">
        <v>3</v>
      </c>
      <c r="W189" s="3" t="s">
        <v>3</v>
      </c>
      <c r="X189" s="10">
        <v>22.21</v>
      </c>
      <c r="Y189" s="6">
        <v>-4.1200000000000001E-2</v>
      </c>
      <c r="Z189" s="10">
        <v>22.29</v>
      </c>
      <c r="AA189" s="6">
        <v>-4.4999999999999998E-2</v>
      </c>
      <c r="AB189" s="102">
        <v>47973</v>
      </c>
      <c r="AC189">
        <v>21.29</v>
      </c>
      <c r="AD189" s="10">
        <v>3500</v>
      </c>
      <c r="AE189">
        <v>76951</v>
      </c>
      <c r="AF189" s="10">
        <v>21.41</v>
      </c>
    </row>
    <row r="190" spans="1:32" ht="16" customHeight="1" x14ac:dyDescent="0.25">
      <c r="A190" s="105" t="s">
        <v>1278</v>
      </c>
      <c r="C190" s="3" t="s">
        <v>986</v>
      </c>
      <c r="D190" s="101">
        <v>42678</v>
      </c>
      <c r="E190" s="3" t="s">
        <v>665</v>
      </c>
      <c r="F190" s="3">
        <v>0.32</v>
      </c>
      <c r="G190" s="3">
        <v>227178000</v>
      </c>
      <c r="H190" s="3">
        <v>0.31</v>
      </c>
      <c r="I190" s="2">
        <v>0.32</v>
      </c>
      <c r="J190" s="4">
        <v>0.31</v>
      </c>
      <c r="K190" s="1">
        <v>0</v>
      </c>
      <c r="L190" s="6">
        <v>1.5900000000000001E-2</v>
      </c>
      <c r="M190" s="6">
        <v>-0.22889999999999999</v>
      </c>
      <c r="N190" s="6">
        <v>4.8182</v>
      </c>
      <c r="O190">
        <v>0.05</v>
      </c>
      <c r="P190">
        <v>0.41</v>
      </c>
      <c r="Q190" t="s">
        <v>987</v>
      </c>
      <c r="R190" s="9" t="s">
        <v>3</v>
      </c>
      <c r="S190" s="3" t="s">
        <v>3</v>
      </c>
      <c r="T190" s="3">
        <v>0</v>
      </c>
      <c r="U190" s="3">
        <v>-0.01</v>
      </c>
      <c r="V190" s="3" t="s">
        <v>988</v>
      </c>
      <c r="W190" s="3" t="s">
        <v>3</v>
      </c>
      <c r="X190" s="10">
        <v>0.35</v>
      </c>
      <c r="Y190" s="6">
        <v>-9.8599999999999993E-2</v>
      </c>
      <c r="Z190" s="10">
        <v>0.27</v>
      </c>
      <c r="AA190" s="6">
        <v>0.18079999999999999</v>
      </c>
      <c r="AB190" s="102">
        <v>672152</v>
      </c>
      <c r="AC190">
        <v>0.32</v>
      </c>
      <c r="AD190" s="10">
        <v>8333</v>
      </c>
      <c r="AE190">
        <v>249891</v>
      </c>
      <c r="AF190" s="10">
        <v>0.31</v>
      </c>
    </row>
    <row r="191" spans="1:32" ht="16" customHeight="1" x14ac:dyDescent="0.25">
      <c r="A191" s="105" t="s">
        <v>1279</v>
      </c>
      <c r="C191" s="3" t="s">
        <v>989</v>
      </c>
      <c r="D191" s="101">
        <v>42678</v>
      </c>
      <c r="E191" s="3" t="s">
        <v>990</v>
      </c>
      <c r="F191" s="3">
        <v>3.27</v>
      </c>
      <c r="G191" s="3">
        <v>20720000</v>
      </c>
      <c r="H191" s="3">
        <v>3.22</v>
      </c>
      <c r="I191" s="2">
        <v>3.27</v>
      </c>
      <c r="J191" s="4">
        <v>3.22</v>
      </c>
      <c r="K191" s="1">
        <v>0.1</v>
      </c>
      <c r="L191" s="6">
        <v>3.15E-2</v>
      </c>
      <c r="M191" s="6">
        <v>-0.24310000000000001</v>
      </c>
      <c r="N191" s="6">
        <v>0.13539999999999999</v>
      </c>
      <c r="O191">
        <v>2.88</v>
      </c>
      <c r="P191">
        <v>4.32</v>
      </c>
      <c r="Q191" t="s">
        <v>991</v>
      </c>
      <c r="R191" s="9">
        <v>15.87</v>
      </c>
      <c r="S191" s="3" t="s">
        <v>3</v>
      </c>
      <c r="T191" s="3">
        <v>2.0099999999999998</v>
      </c>
      <c r="U191" s="3">
        <v>0.21</v>
      </c>
      <c r="V191" s="3" t="s">
        <v>992</v>
      </c>
      <c r="W191" s="3" t="s">
        <v>3</v>
      </c>
      <c r="X191" s="10">
        <v>3.38</v>
      </c>
      <c r="Y191" s="6">
        <v>-3.3000000000000002E-2</v>
      </c>
      <c r="Z191" s="10">
        <v>3.7</v>
      </c>
      <c r="AA191" s="6">
        <v>-0.1154</v>
      </c>
      <c r="AB191" s="102">
        <v>71839</v>
      </c>
      <c r="AC191">
        <v>3.27</v>
      </c>
      <c r="AD191" s="10">
        <v>4552</v>
      </c>
      <c r="AE191">
        <v>13552</v>
      </c>
      <c r="AF191" s="10">
        <v>3.17</v>
      </c>
    </row>
    <row r="192" spans="1:32" ht="16" customHeight="1" x14ac:dyDescent="0.25">
      <c r="A192" s="105" t="s">
        <v>1280</v>
      </c>
      <c r="C192" s="3" t="s">
        <v>993</v>
      </c>
      <c r="D192" s="101">
        <v>42671</v>
      </c>
      <c r="E192" s="3" t="s">
        <v>994</v>
      </c>
      <c r="F192" s="3">
        <v>0.13500000000000001</v>
      </c>
      <c r="G192" s="3">
        <v>60670000</v>
      </c>
      <c r="H192" s="3">
        <v>0.13</v>
      </c>
      <c r="I192" s="2">
        <v>0.13500000000000001</v>
      </c>
      <c r="J192" s="4">
        <v>0.13</v>
      </c>
      <c r="K192" s="1">
        <v>0</v>
      </c>
      <c r="L192" s="6">
        <v>0</v>
      </c>
      <c r="M192" s="6">
        <v>-0.15625</v>
      </c>
      <c r="N192" s="6">
        <v>2.2142900000000001</v>
      </c>
      <c r="O192">
        <v>4.2000000000000003E-2</v>
      </c>
      <c r="P192">
        <v>0.16</v>
      </c>
      <c r="Q192" t="s">
        <v>995</v>
      </c>
      <c r="R192" s="9" t="s">
        <v>3</v>
      </c>
      <c r="S192" s="3" t="s">
        <v>3</v>
      </c>
      <c r="T192" s="3">
        <v>0</v>
      </c>
      <c r="U192" s="3">
        <v>-4.0000000000000001E-3</v>
      </c>
      <c r="V192" s="3" t="s">
        <v>996</v>
      </c>
      <c r="W192" s="3" t="s">
        <v>3</v>
      </c>
      <c r="X192" s="10">
        <v>0.127</v>
      </c>
      <c r="Y192" s="6">
        <v>6.3899999999999998E-2</v>
      </c>
      <c r="Z192" s="10">
        <v>0.13500000000000001</v>
      </c>
      <c r="AA192" s="6">
        <v>2.7899999999999999E-3</v>
      </c>
      <c r="AB192" s="102">
        <v>9311</v>
      </c>
      <c r="AC192">
        <v>0.13500000000000001</v>
      </c>
      <c r="AD192" s="10">
        <v>6503</v>
      </c>
      <c r="AE192">
        <v>20000</v>
      </c>
      <c r="AF192" s="10">
        <v>0.13500000000000001</v>
      </c>
    </row>
    <row r="193" spans="1:32" ht="16" customHeight="1" x14ac:dyDescent="0.25">
      <c r="A193" s="105" t="s">
        <v>1281</v>
      </c>
      <c r="C193" s="3" t="s">
        <v>997</v>
      </c>
      <c r="D193" s="101">
        <v>42678</v>
      </c>
      <c r="E193" s="3" t="s">
        <v>998</v>
      </c>
      <c r="F193" s="3">
        <v>1.05</v>
      </c>
      <c r="G193" s="3">
        <v>88870000</v>
      </c>
      <c r="H193" s="3">
        <v>1.07</v>
      </c>
      <c r="I193" s="2">
        <v>1.07</v>
      </c>
      <c r="J193" s="4">
        <v>1.05</v>
      </c>
      <c r="K193" s="1">
        <v>-0.02</v>
      </c>
      <c r="L193" s="107">
        <v>-1.8700000000000001E-2</v>
      </c>
      <c r="M193" s="107">
        <v>-0.16</v>
      </c>
      <c r="N193" s="107">
        <v>0.65349999999999997</v>
      </c>
      <c r="O193">
        <v>0.63</v>
      </c>
      <c r="P193">
        <v>1.25</v>
      </c>
      <c r="Q193" t="s">
        <v>999</v>
      </c>
      <c r="R193" s="9">
        <v>9.4600000000000009</v>
      </c>
      <c r="S193" s="3" t="s">
        <v>3</v>
      </c>
      <c r="T193" s="3">
        <v>-27.1</v>
      </c>
      <c r="U193" s="3">
        <v>0.11</v>
      </c>
      <c r="V193" s="3" t="s">
        <v>1000</v>
      </c>
      <c r="W193" s="3" t="s">
        <v>3</v>
      </c>
      <c r="X193" s="10">
        <v>1.0900000000000001</v>
      </c>
      <c r="Y193" s="6">
        <v>-3.6600000000000001E-2</v>
      </c>
      <c r="Z193" s="10">
        <v>1.01</v>
      </c>
      <c r="AA193" s="6">
        <v>3.95E-2</v>
      </c>
      <c r="AB193" s="102">
        <v>158648</v>
      </c>
      <c r="AC193">
        <v>1.05</v>
      </c>
      <c r="AD193" s="10">
        <v>23</v>
      </c>
      <c r="AE193">
        <v>20251</v>
      </c>
      <c r="AF193" s="10">
        <v>1.07</v>
      </c>
    </row>
    <row r="194" spans="1:32" ht="16" customHeight="1" x14ac:dyDescent="0.25">
      <c r="A194" s="105" t="s">
        <v>1282</v>
      </c>
      <c r="C194" s="3" t="s">
        <v>1001</v>
      </c>
      <c r="D194" s="101">
        <v>42678</v>
      </c>
      <c r="E194" s="3" t="s">
        <v>1002</v>
      </c>
      <c r="F194" s="3">
        <v>0.43</v>
      </c>
      <c r="G194" s="3">
        <v>160862000</v>
      </c>
      <c r="H194" s="3">
        <v>0.43</v>
      </c>
      <c r="I194" s="2">
        <v>0.43</v>
      </c>
      <c r="J194" s="4">
        <v>0.43</v>
      </c>
      <c r="K194" s="1">
        <v>0</v>
      </c>
      <c r="L194" s="6">
        <v>0</v>
      </c>
      <c r="M194" s="6">
        <v>-0.21820000000000001</v>
      </c>
      <c r="N194" s="6">
        <v>1.1499999999999999</v>
      </c>
      <c r="O194">
        <v>0.2</v>
      </c>
      <c r="P194">
        <v>0.55000000000000004</v>
      </c>
      <c r="Q194" t="s">
        <v>1003</v>
      </c>
      <c r="R194" s="9" t="s">
        <v>3</v>
      </c>
      <c r="S194" s="3" t="s">
        <v>3</v>
      </c>
      <c r="T194" s="3">
        <v>0</v>
      </c>
      <c r="U194" s="3">
        <v>-0.02</v>
      </c>
      <c r="V194" s="3" t="s">
        <v>1004</v>
      </c>
      <c r="W194" s="3" t="s">
        <v>3</v>
      </c>
      <c r="X194" s="10">
        <v>0.35</v>
      </c>
      <c r="Y194" s="6">
        <v>0.22700000000000001</v>
      </c>
      <c r="Z194" s="10">
        <v>0.32</v>
      </c>
      <c r="AA194" s="6">
        <v>0.3518</v>
      </c>
      <c r="AB194" s="102">
        <v>390639</v>
      </c>
      <c r="AC194">
        <v>0.43</v>
      </c>
      <c r="AD194" s="10">
        <v>26695</v>
      </c>
      <c r="AE194">
        <v>414266</v>
      </c>
      <c r="AF194" s="10">
        <v>0.43</v>
      </c>
    </row>
    <row r="195" spans="1:32" ht="16" customHeight="1" x14ac:dyDescent="0.25">
      <c r="A195" s="105" t="s">
        <v>1283</v>
      </c>
      <c r="C195" s="3" t="s">
        <v>1005</v>
      </c>
      <c r="D195" s="101">
        <v>42678</v>
      </c>
      <c r="E195" s="3" t="s">
        <v>593</v>
      </c>
      <c r="F195" s="3">
        <v>0.47499999999999998</v>
      </c>
      <c r="G195" s="3">
        <v>217481000</v>
      </c>
      <c r="H195" s="3">
        <v>0.47</v>
      </c>
      <c r="I195" s="2">
        <v>0.47499999999999998</v>
      </c>
      <c r="J195" s="4">
        <v>0.46500000000000002</v>
      </c>
      <c r="K195" s="1">
        <v>0</v>
      </c>
      <c r="L195" s="6">
        <v>0</v>
      </c>
      <c r="M195" s="6">
        <v>-0.28029999999999999</v>
      </c>
      <c r="N195" s="6">
        <v>0.31944</v>
      </c>
      <c r="O195">
        <v>0.36</v>
      </c>
      <c r="P195">
        <v>0.66</v>
      </c>
      <c r="Q195" t="s">
        <v>1006</v>
      </c>
      <c r="R195" s="9" t="s">
        <v>3</v>
      </c>
      <c r="S195" s="3" t="s">
        <v>3</v>
      </c>
      <c r="T195" s="3">
        <v>0</v>
      </c>
      <c r="U195" s="3">
        <v>-8.0000000000000002E-3</v>
      </c>
      <c r="V195" s="3" t="s">
        <v>1007</v>
      </c>
      <c r="W195" s="3" t="s">
        <v>3</v>
      </c>
      <c r="X195" s="10">
        <v>0.53500000000000003</v>
      </c>
      <c r="Y195" s="6">
        <v>-0.11169999999999999</v>
      </c>
      <c r="Z195" s="10">
        <v>0.55300000000000005</v>
      </c>
      <c r="AA195" s="6">
        <v>-0.14049</v>
      </c>
      <c r="AB195" s="102">
        <v>179586</v>
      </c>
      <c r="AC195">
        <v>0.47499999999999998</v>
      </c>
      <c r="AD195" s="10">
        <v>1131</v>
      </c>
      <c r="AE195">
        <v>101394</v>
      </c>
      <c r="AF195" s="10">
        <v>0.47499999999999998</v>
      </c>
    </row>
    <row r="196" spans="1:32" ht="16" customHeight="1" x14ac:dyDescent="0.25">
      <c r="A196" s="105" t="s">
        <v>1284</v>
      </c>
      <c r="C196" s="3" t="s">
        <v>1008</v>
      </c>
      <c r="D196" s="101">
        <v>42678</v>
      </c>
      <c r="E196" s="3" t="s">
        <v>543</v>
      </c>
      <c r="F196" s="3">
        <v>0.59499999999999997</v>
      </c>
      <c r="G196" s="3">
        <v>142426000</v>
      </c>
      <c r="H196" s="3">
        <v>0.59499999999999997</v>
      </c>
      <c r="I196" s="2">
        <v>0.59499999999999997</v>
      </c>
      <c r="J196" s="4">
        <v>0.59</v>
      </c>
      <c r="K196" s="1">
        <v>0</v>
      </c>
      <c r="L196" s="6">
        <v>0</v>
      </c>
      <c r="M196" s="6">
        <v>-8.4620000000000001E-2</v>
      </c>
      <c r="N196" s="6">
        <v>0.48749999999999999</v>
      </c>
      <c r="O196">
        <v>0.4</v>
      </c>
      <c r="P196">
        <v>0.65</v>
      </c>
      <c r="Q196" t="s">
        <v>1009</v>
      </c>
      <c r="R196" s="9">
        <v>21.25</v>
      </c>
      <c r="S196" s="3" t="s">
        <v>3</v>
      </c>
      <c r="T196" s="3">
        <v>0.19</v>
      </c>
      <c r="U196" s="3">
        <v>2.8000000000000001E-2</v>
      </c>
      <c r="V196" s="3" t="s">
        <v>1010</v>
      </c>
      <c r="W196" s="3" t="s">
        <v>3</v>
      </c>
      <c r="X196" s="10">
        <v>0.60499999999999998</v>
      </c>
      <c r="Y196" s="6">
        <v>-1.719E-2</v>
      </c>
      <c r="Z196" s="10">
        <v>0.52</v>
      </c>
      <c r="AA196" s="6">
        <v>0.14515</v>
      </c>
      <c r="AB196" s="102">
        <v>141414</v>
      </c>
      <c r="AC196">
        <v>0.59499999999999997</v>
      </c>
      <c r="AD196" s="10">
        <v>731</v>
      </c>
      <c r="AE196">
        <v>56978</v>
      </c>
      <c r="AF196" s="10">
        <v>0.59499999999999997</v>
      </c>
    </row>
    <row r="197" spans="1:32" ht="16" customHeight="1" x14ac:dyDescent="0.25">
      <c r="A197" s="105" t="s">
        <v>1285</v>
      </c>
      <c r="C197" s="3" t="s">
        <v>1011</v>
      </c>
      <c r="D197" s="101">
        <v>42677</v>
      </c>
      <c r="E197" s="3" t="s">
        <v>1012</v>
      </c>
      <c r="F197" s="3">
        <v>1.08</v>
      </c>
      <c r="G197" s="3">
        <v>108131000</v>
      </c>
      <c r="H197" s="3">
        <v>1.1000000000000001</v>
      </c>
      <c r="I197" s="2">
        <v>1.1000000000000001</v>
      </c>
      <c r="J197" s="4">
        <v>1.08</v>
      </c>
      <c r="K197" s="1">
        <v>0</v>
      </c>
      <c r="L197" s="6">
        <v>0</v>
      </c>
      <c r="M197" s="6">
        <v>-0.27029999999999998</v>
      </c>
      <c r="N197" s="6">
        <v>1.89E-2</v>
      </c>
      <c r="O197">
        <v>1.06</v>
      </c>
      <c r="P197">
        <v>1.48</v>
      </c>
      <c r="Q197" t="s">
        <v>1013</v>
      </c>
      <c r="R197" s="9">
        <v>13.01</v>
      </c>
      <c r="S197" s="3" t="s">
        <v>3</v>
      </c>
      <c r="T197" s="3">
        <v>0</v>
      </c>
      <c r="U197" s="3">
        <v>0.08</v>
      </c>
      <c r="V197" s="3" t="s">
        <v>1014</v>
      </c>
      <c r="W197" s="3" t="s">
        <v>3</v>
      </c>
      <c r="X197" s="10">
        <v>1.1200000000000001</v>
      </c>
      <c r="Y197" s="6">
        <v>-3.5799999999999998E-2</v>
      </c>
      <c r="Z197" s="10">
        <v>1.17</v>
      </c>
      <c r="AA197" s="6">
        <v>-7.5300000000000006E-2</v>
      </c>
      <c r="AB197" s="102">
        <v>117517</v>
      </c>
      <c r="AC197">
        <v>1.08</v>
      </c>
      <c r="AD197" s="10">
        <v>126</v>
      </c>
      <c r="AE197">
        <v>28788</v>
      </c>
      <c r="AF197" s="10">
        <v>1.08</v>
      </c>
    </row>
    <row r="198" spans="1:32" ht="16" customHeight="1" x14ac:dyDescent="0.25">
      <c r="A198" s="105" t="s">
        <v>1286</v>
      </c>
      <c r="C198" s="3" t="s">
        <v>1015</v>
      </c>
      <c r="D198" s="101">
        <v>42678</v>
      </c>
      <c r="E198" s="3" t="s">
        <v>1016</v>
      </c>
      <c r="F198" s="3">
        <v>1.07</v>
      </c>
      <c r="G198" s="3" t="s">
        <v>3</v>
      </c>
      <c r="H198" s="3">
        <v>1.07</v>
      </c>
      <c r="I198" s="2">
        <v>1.08</v>
      </c>
      <c r="J198" s="4">
        <v>1.06</v>
      </c>
      <c r="K198" s="1">
        <v>0</v>
      </c>
      <c r="L198" s="6">
        <v>0</v>
      </c>
      <c r="M198" s="6">
        <v>-2.7300000000000001E-2</v>
      </c>
      <c r="N198" s="6">
        <v>0.1263</v>
      </c>
      <c r="O198">
        <v>0.95</v>
      </c>
      <c r="P198">
        <v>1.1000000000000001</v>
      </c>
      <c r="Q198" t="s">
        <v>3</v>
      </c>
      <c r="R198" s="9" t="s">
        <v>3</v>
      </c>
      <c r="S198" s="3" t="s">
        <v>3</v>
      </c>
      <c r="T198" s="3">
        <v>0</v>
      </c>
      <c r="U198" s="3" t="s">
        <v>3</v>
      </c>
      <c r="V198" s="3">
        <v>0</v>
      </c>
      <c r="W198" s="3" t="s">
        <v>3</v>
      </c>
      <c r="X198" s="10">
        <v>1.07</v>
      </c>
      <c r="Y198" s="6">
        <v>-4.0000000000000002E-4</v>
      </c>
      <c r="Z198" s="10">
        <v>1.06</v>
      </c>
      <c r="AA198" s="6">
        <v>8.0999999999999996E-3</v>
      </c>
      <c r="AB198" s="102">
        <v>44430</v>
      </c>
      <c r="AC198">
        <v>1.07</v>
      </c>
      <c r="AD198" s="10">
        <v>10000</v>
      </c>
      <c r="AE198">
        <v>56700</v>
      </c>
      <c r="AF198" s="10">
        <v>1.07</v>
      </c>
    </row>
    <row r="199" spans="1:32" ht="16" customHeight="1" x14ac:dyDescent="0.25">
      <c r="A199" s="105" t="s">
        <v>1287</v>
      </c>
      <c r="C199" s="3" t="s">
        <v>1017</v>
      </c>
      <c r="D199" s="101">
        <v>42678</v>
      </c>
      <c r="E199" s="3" t="s">
        <v>665</v>
      </c>
      <c r="F199" s="3">
        <v>0.14499999999999999</v>
      </c>
      <c r="G199" s="3">
        <v>396763000</v>
      </c>
      <c r="H199" s="3">
        <v>0.14499999999999999</v>
      </c>
      <c r="I199" s="2">
        <v>0.14499999999999999</v>
      </c>
      <c r="J199" s="4">
        <v>0.14000000000000001</v>
      </c>
      <c r="K199" s="1">
        <v>0</v>
      </c>
      <c r="L199" s="6">
        <v>0</v>
      </c>
      <c r="M199" s="6">
        <v>-0.23683999999999999</v>
      </c>
      <c r="N199" s="6">
        <v>0.49485000000000001</v>
      </c>
      <c r="O199">
        <v>9.7000000000000003E-2</v>
      </c>
      <c r="P199">
        <v>0.19</v>
      </c>
      <c r="Q199" t="s">
        <v>1018</v>
      </c>
      <c r="R199" s="9" t="s">
        <v>3</v>
      </c>
      <c r="S199" s="3" t="s">
        <v>3</v>
      </c>
      <c r="T199" s="3">
        <v>0</v>
      </c>
      <c r="U199" s="3">
        <v>-0.01</v>
      </c>
      <c r="V199" s="3" t="s">
        <v>1019</v>
      </c>
      <c r="W199" s="3" t="s">
        <v>3</v>
      </c>
      <c r="X199" s="10">
        <v>0.14599999999999999</v>
      </c>
      <c r="Y199" s="6">
        <v>-8.6800000000000002E-3</v>
      </c>
      <c r="Z199" s="10">
        <v>0.13500000000000001</v>
      </c>
      <c r="AA199" s="6">
        <v>7.1870000000000003E-2</v>
      </c>
      <c r="AB199" s="102">
        <v>728851</v>
      </c>
      <c r="AC199">
        <v>0.14499999999999999</v>
      </c>
      <c r="AD199" s="10">
        <v>45922</v>
      </c>
      <c r="AE199">
        <v>967885</v>
      </c>
      <c r="AF199" s="10">
        <v>0.14499999999999999</v>
      </c>
    </row>
    <row r="200" spans="1:32" ht="16" customHeight="1" x14ac:dyDescent="0.25">
      <c r="A200" s="105" t="s">
        <v>1288</v>
      </c>
      <c r="C200" s="3" t="s">
        <v>1020</v>
      </c>
      <c r="D200" s="101">
        <v>42677</v>
      </c>
      <c r="E200" s="3" t="s">
        <v>1021</v>
      </c>
      <c r="F200" s="3">
        <v>0.21</v>
      </c>
      <c r="G200" s="3">
        <v>57659000</v>
      </c>
      <c r="H200" s="3">
        <v>0.2</v>
      </c>
      <c r="I200" s="2">
        <v>0.21</v>
      </c>
      <c r="J200" s="4">
        <v>0.2</v>
      </c>
      <c r="K200" s="1">
        <v>0</v>
      </c>
      <c r="L200" s="6">
        <v>0</v>
      </c>
      <c r="M200" s="6">
        <v>-8.6999999999999994E-2</v>
      </c>
      <c r="N200" s="6">
        <v>3.2</v>
      </c>
      <c r="O200">
        <v>0.05</v>
      </c>
      <c r="P200">
        <v>0.23</v>
      </c>
      <c r="Q200" t="s">
        <v>1022</v>
      </c>
      <c r="R200" s="9">
        <v>5.38</v>
      </c>
      <c r="S200" s="3" t="s">
        <v>3</v>
      </c>
      <c r="T200" s="3">
        <v>0</v>
      </c>
      <c r="U200" s="3">
        <v>0.04</v>
      </c>
      <c r="V200" s="3" t="s">
        <v>1023</v>
      </c>
      <c r="W200" s="3" t="s">
        <v>3</v>
      </c>
      <c r="X200" s="10">
        <v>0.2</v>
      </c>
      <c r="Y200" s="6">
        <v>4.9299999999999997E-2</v>
      </c>
      <c r="Z200" s="10">
        <v>0.18</v>
      </c>
      <c r="AA200" s="6">
        <v>0.16819999999999999</v>
      </c>
      <c r="AB200" s="102">
        <v>11714</v>
      </c>
      <c r="AC200">
        <v>0.21</v>
      </c>
      <c r="AD200" s="10">
        <v>2500</v>
      </c>
      <c r="AE200">
        <v>58860</v>
      </c>
      <c r="AF200" s="10">
        <v>0.21</v>
      </c>
    </row>
    <row r="201" spans="1:32" ht="16" customHeight="1" x14ac:dyDescent="0.25">
      <c r="A201" s="105" t="s">
        <v>1289</v>
      </c>
      <c r="C201" s="3" t="s">
        <v>1024</v>
      </c>
      <c r="D201" s="101">
        <v>42678</v>
      </c>
      <c r="E201" s="3" t="s">
        <v>998</v>
      </c>
      <c r="F201" s="3">
        <v>0.5</v>
      </c>
      <c r="G201" s="3">
        <v>139462000</v>
      </c>
      <c r="H201" s="3">
        <v>0.51</v>
      </c>
      <c r="I201" s="2">
        <v>0.51</v>
      </c>
      <c r="J201" s="4">
        <v>0.5</v>
      </c>
      <c r="K201" s="1">
        <v>-0.01</v>
      </c>
      <c r="L201" s="6">
        <v>-1.9599999999999999E-2</v>
      </c>
      <c r="M201" s="6">
        <v>-0.1071</v>
      </c>
      <c r="N201" s="6">
        <v>0.5625</v>
      </c>
      <c r="O201">
        <v>0.32</v>
      </c>
      <c r="P201">
        <v>0.56000000000000005</v>
      </c>
      <c r="Q201" t="s">
        <v>1025</v>
      </c>
      <c r="R201" s="9" t="s">
        <v>3</v>
      </c>
      <c r="S201" s="3" t="s">
        <v>3</v>
      </c>
      <c r="T201" s="3">
        <v>0</v>
      </c>
      <c r="U201" s="3">
        <v>-0.05</v>
      </c>
      <c r="V201" s="3" t="s">
        <v>1026</v>
      </c>
      <c r="W201" s="3" t="s">
        <v>3</v>
      </c>
      <c r="X201" s="10">
        <v>0.51</v>
      </c>
      <c r="Y201" s="6">
        <v>-2.86E-2</v>
      </c>
      <c r="Z201" s="10">
        <v>0.45</v>
      </c>
      <c r="AA201" s="6">
        <v>0.1205</v>
      </c>
      <c r="AB201" s="102">
        <v>70190</v>
      </c>
      <c r="AC201">
        <v>0.5</v>
      </c>
      <c r="AD201" s="10">
        <v>1293</v>
      </c>
      <c r="AE201">
        <v>6293</v>
      </c>
      <c r="AF201" s="10">
        <v>0.51</v>
      </c>
    </row>
    <row r="202" spans="1:32" ht="16" customHeight="1" x14ac:dyDescent="0.25">
      <c r="A202" s="105" t="s">
        <v>1290</v>
      </c>
      <c r="C202" s="3" t="s">
        <v>1027</v>
      </c>
      <c r="D202" s="101">
        <v>42678</v>
      </c>
      <c r="E202" s="3" t="s">
        <v>968</v>
      </c>
      <c r="F202" s="3">
        <v>0.09</v>
      </c>
      <c r="G202" s="3">
        <v>888290000</v>
      </c>
      <c r="H202" s="3">
        <v>0.09</v>
      </c>
      <c r="I202" s="2">
        <v>0.09</v>
      </c>
      <c r="J202" s="4">
        <v>0.09</v>
      </c>
      <c r="K202" s="1">
        <v>0</v>
      </c>
      <c r="L202" s="6">
        <v>0</v>
      </c>
      <c r="M202" s="6">
        <v>-0.4375</v>
      </c>
      <c r="N202" s="6">
        <v>0.125</v>
      </c>
      <c r="O202">
        <v>0.08</v>
      </c>
      <c r="P202">
        <v>0.16</v>
      </c>
      <c r="Q202" t="s">
        <v>1028</v>
      </c>
      <c r="R202" s="9">
        <v>90</v>
      </c>
      <c r="S202" s="3" t="s">
        <v>3</v>
      </c>
      <c r="T202" s="3">
        <v>-0.67</v>
      </c>
      <c r="U202" s="3">
        <v>0</v>
      </c>
      <c r="V202" s="3" t="s">
        <v>1029</v>
      </c>
      <c r="W202" s="3" t="s">
        <v>3</v>
      </c>
      <c r="X202" s="10">
        <v>0.11</v>
      </c>
      <c r="Y202" s="6">
        <v>-0.18360000000000001</v>
      </c>
      <c r="Z202" s="10">
        <v>0.11</v>
      </c>
      <c r="AA202" s="6">
        <v>-0.15690000000000001</v>
      </c>
      <c r="AB202" s="102">
        <v>3019840</v>
      </c>
      <c r="AC202">
        <v>0.09</v>
      </c>
      <c r="AD202" s="10">
        <v>57</v>
      </c>
      <c r="AE202">
        <v>349428</v>
      </c>
      <c r="AF202" s="10">
        <v>0.09</v>
      </c>
    </row>
    <row r="203" spans="1:32" ht="16" customHeight="1" x14ac:dyDescent="0.25">
      <c r="A203" s="105" t="s">
        <v>1291</v>
      </c>
      <c r="C203" s="3" t="s">
        <v>1030</v>
      </c>
      <c r="D203" s="101">
        <v>42678</v>
      </c>
      <c r="E203" s="3" t="s">
        <v>1031</v>
      </c>
      <c r="F203" s="3">
        <v>0.71499999999999997</v>
      </c>
      <c r="G203" s="3">
        <v>80220000</v>
      </c>
      <c r="H203" s="3">
        <v>0.71499999999999997</v>
      </c>
      <c r="I203" s="2">
        <v>0.71499999999999997</v>
      </c>
      <c r="J203" s="4">
        <v>0.71499999999999997</v>
      </c>
      <c r="K203" s="1">
        <v>-5.0000000000000001E-3</v>
      </c>
      <c r="L203" s="6">
        <v>-6.94E-3</v>
      </c>
      <c r="M203" s="6">
        <v>-0.21858</v>
      </c>
      <c r="N203" s="6">
        <v>1.86</v>
      </c>
      <c r="O203">
        <v>0.25</v>
      </c>
      <c r="P203">
        <v>0.91500000000000004</v>
      </c>
      <c r="Q203" t="s">
        <v>1032</v>
      </c>
      <c r="R203" s="9" t="s">
        <v>3</v>
      </c>
      <c r="S203" s="3" t="s">
        <v>3</v>
      </c>
      <c r="T203" s="3">
        <v>0</v>
      </c>
      <c r="U203" s="3">
        <v>-4.2999999999999997E-2</v>
      </c>
      <c r="V203" s="3" t="s">
        <v>1033</v>
      </c>
      <c r="W203" s="3" t="s">
        <v>3</v>
      </c>
      <c r="X203" s="10">
        <v>0.73299999999999998</v>
      </c>
      <c r="Y203" s="6">
        <v>-2.4879999999999999E-2</v>
      </c>
      <c r="Z203" s="10">
        <v>0.57999999999999996</v>
      </c>
      <c r="AA203" s="6">
        <v>0.23232</v>
      </c>
      <c r="AB203" s="102">
        <v>60070</v>
      </c>
      <c r="AC203">
        <v>0.71499999999999997</v>
      </c>
      <c r="AD203" s="10">
        <v>50</v>
      </c>
      <c r="AE203">
        <v>1122</v>
      </c>
      <c r="AF203" s="10">
        <v>0.72</v>
      </c>
    </row>
    <row r="204" spans="1:32" ht="16" customHeight="1" x14ac:dyDescent="0.25">
      <c r="A204" s="105" t="s">
        <v>1292</v>
      </c>
      <c r="C204" s="3" t="s">
        <v>1034</v>
      </c>
      <c r="D204" s="101">
        <v>42678</v>
      </c>
      <c r="E204" s="3" t="s">
        <v>638</v>
      </c>
      <c r="F204" s="3">
        <v>63.08</v>
      </c>
      <c r="G204" s="3" t="s">
        <v>3</v>
      </c>
      <c r="H204" s="3">
        <v>63.09</v>
      </c>
      <c r="I204" s="2">
        <v>64.099999999999994</v>
      </c>
      <c r="J204" s="4">
        <v>62.66</v>
      </c>
      <c r="K204" s="1">
        <v>-0.22</v>
      </c>
      <c r="L204" s="6">
        <v>-3.5000000000000001E-3</v>
      </c>
      <c r="M204" s="6">
        <v>-0.1115</v>
      </c>
      <c r="N204" s="6">
        <v>0.21540000000000001</v>
      </c>
      <c r="O204">
        <v>51.9</v>
      </c>
      <c r="P204">
        <v>71</v>
      </c>
      <c r="Q204" t="s">
        <v>3</v>
      </c>
      <c r="R204" s="9" t="s">
        <v>3</v>
      </c>
      <c r="S204" s="3" t="s">
        <v>3</v>
      </c>
      <c r="T204" s="3">
        <v>0</v>
      </c>
      <c r="U204" s="3" t="s">
        <v>3</v>
      </c>
      <c r="V204" s="3" t="s">
        <v>3</v>
      </c>
      <c r="W204" s="3" t="s">
        <v>3</v>
      </c>
      <c r="X204" s="10">
        <v>65.16</v>
      </c>
      <c r="Y204" s="6">
        <v>-3.1899999999999998E-2</v>
      </c>
      <c r="Z204" s="10">
        <v>61.39</v>
      </c>
      <c r="AA204" s="6">
        <v>2.76E-2</v>
      </c>
      <c r="AB204" s="102">
        <v>7978</v>
      </c>
      <c r="AC204">
        <v>63.08</v>
      </c>
      <c r="AD204" s="10">
        <v>525</v>
      </c>
      <c r="AE204">
        <v>3382</v>
      </c>
      <c r="AF204" s="10">
        <v>63.3</v>
      </c>
    </row>
    <row r="205" spans="1:32" ht="16" customHeight="1" x14ac:dyDescent="0.25">
      <c r="A205" s="105" t="s">
        <v>1293</v>
      </c>
      <c r="C205" s="3" t="s">
        <v>1035</v>
      </c>
      <c r="D205" s="101">
        <v>42678</v>
      </c>
      <c r="E205" s="3" t="s">
        <v>1036</v>
      </c>
      <c r="F205" s="3">
        <v>0.7</v>
      </c>
      <c r="G205" s="3">
        <v>101814000</v>
      </c>
      <c r="H205" s="3">
        <v>0.68</v>
      </c>
      <c r="I205" s="2">
        <v>0.7</v>
      </c>
      <c r="J205" s="4">
        <v>0.68</v>
      </c>
      <c r="K205" s="1">
        <v>0.02</v>
      </c>
      <c r="L205" s="6">
        <v>2.9399999999999999E-2</v>
      </c>
      <c r="M205" s="6">
        <v>-0.1716</v>
      </c>
      <c r="N205" s="6">
        <v>0.84209999999999996</v>
      </c>
      <c r="O205">
        <v>0.38</v>
      </c>
      <c r="P205">
        <v>0.85</v>
      </c>
      <c r="Q205" t="s">
        <v>1037</v>
      </c>
      <c r="R205" s="9" t="s">
        <v>3</v>
      </c>
      <c r="S205" s="3" t="s">
        <v>3</v>
      </c>
      <c r="T205" s="3">
        <v>0</v>
      </c>
      <c r="U205" s="3">
        <v>-0.19</v>
      </c>
      <c r="V205" s="3" t="s">
        <v>674</v>
      </c>
      <c r="W205" s="3" t="s">
        <v>3</v>
      </c>
      <c r="X205" s="10">
        <v>0.7</v>
      </c>
      <c r="Y205" s="6">
        <v>2.5000000000000001E-3</v>
      </c>
      <c r="Z205" s="10">
        <v>0.56999999999999995</v>
      </c>
      <c r="AA205" s="6">
        <v>0.23599999999999999</v>
      </c>
      <c r="AB205" s="102">
        <v>32351</v>
      </c>
      <c r="AC205">
        <v>0.7</v>
      </c>
      <c r="AD205" s="10">
        <v>44685</v>
      </c>
      <c r="AE205">
        <v>54589</v>
      </c>
      <c r="AF205" s="10">
        <v>0.68</v>
      </c>
    </row>
    <row r="206" spans="1:32" ht="16" customHeight="1" x14ac:dyDescent="0.25">
      <c r="A206" s="105" t="s">
        <v>1294</v>
      </c>
      <c r="C206" s="3" t="s">
        <v>1038</v>
      </c>
      <c r="D206" s="101">
        <v>42678</v>
      </c>
      <c r="E206" s="3" t="s">
        <v>1039</v>
      </c>
      <c r="F206" s="3">
        <v>0.45</v>
      </c>
      <c r="G206" s="3">
        <v>82505000</v>
      </c>
      <c r="H206" s="3">
        <v>0.44</v>
      </c>
      <c r="I206" s="2">
        <v>0.45</v>
      </c>
      <c r="J206" s="4">
        <v>0.44</v>
      </c>
      <c r="K206" s="1">
        <v>0.01</v>
      </c>
      <c r="L206" s="6">
        <v>3.4500000000000003E-2</v>
      </c>
      <c r="M206" s="6">
        <v>-0.1346</v>
      </c>
      <c r="N206" s="6">
        <v>0.1842</v>
      </c>
      <c r="O206">
        <v>0.38</v>
      </c>
      <c r="P206">
        <v>0.52</v>
      </c>
      <c r="Q206" t="s">
        <v>1040</v>
      </c>
      <c r="R206" s="9">
        <v>15</v>
      </c>
      <c r="S206" s="3" t="s">
        <v>3</v>
      </c>
      <c r="T206" s="3">
        <v>0</v>
      </c>
      <c r="U206" s="3">
        <v>0.03</v>
      </c>
      <c r="V206" s="3" t="s">
        <v>1041</v>
      </c>
      <c r="W206" s="3" t="s">
        <v>3</v>
      </c>
      <c r="X206" s="10">
        <v>0.46</v>
      </c>
      <c r="Y206" s="6">
        <v>-3.1399999999999997E-2</v>
      </c>
      <c r="Z206" s="10">
        <v>0.46</v>
      </c>
      <c r="AA206" s="6">
        <v>-2.3699999999999999E-2</v>
      </c>
      <c r="AB206" s="102">
        <v>17834</v>
      </c>
      <c r="AC206">
        <v>0.45</v>
      </c>
      <c r="AD206" s="10">
        <v>17849</v>
      </c>
      <c r="AE206">
        <v>42849</v>
      </c>
      <c r="AF206" s="10">
        <v>0.44</v>
      </c>
    </row>
    <row r="207" spans="1:32" ht="16" customHeight="1" x14ac:dyDescent="0.25">
      <c r="A207" s="105" t="s">
        <v>1295</v>
      </c>
      <c r="C207" s="3" t="s">
        <v>1042</v>
      </c>
      <c r="D207" s="101">
        <v>42678</v>
      </c>
      <c r="E207" s="3" t="s">
        <v>956</v>
      </c>
      <c r="F207" s="3">
        <v>0.09</v>
      </c>
      <c r="G207" s="3">
        <v>630157000</v>
      </c>
      <c r="H207" s="3">
        <v>0.09</v>
      </c>
      <c r="I207" s="2">
        <v>0.09</v>
      </c>
      <c r="J207" s="4">
        <v>0.09</v>
      </c>
      <c r="K207" s="1">
        <v>0</v>
      </c>
      <c r="L207" s="107">
        <v>0</v>
      </c>
      <c r="M207" s="6">
        <v>-0.1429</v>
      </c>
      <c r="N207" s="6">
        <v>1.5</v>
      </c>
      <c r="O207">
        <v>0.04</v>
      </c>
      <c r="P207">
        <v>0.1</v>
      </c>
      <c r="Q207" t="s">
        <v>917</v>
      </c>
      <c r="R207" s="9">
        <v>8.18</v>
      </c>
      <c r="S207" s="3" t="s">
        <v>3</v>
      </c>
      <c r="T207" s="3">
        <v>0</v>
      </c>
      <c r="U207" s="3">
        <v>0.01</v>
      </c>
      <c r="V207" s="3" t="s">
        <v>1043</v>
      </c>
      <c r="W207" s="3" t="s">
        <v>3</v>
      </c>
      <c r="X207" s="10">
        <v>0.08</v>
      </c>
      <c r="Y207" s="6">
        <v>6.3200000000000006E-2</v>
      </c>
      <c r="Z207" s="10">
        <v>0.06</v>
      </c>
      <c r="AA207" s="6">
        <v>0.4234</v>
      </c>
      <c r="AB207" s="102">
        <v>920556</v>
      </c>
      <c r="AC207">
        <v>0.09</v>
      </c>
      <c r="AD207" s="10">
        <v>18</v>
      </c>
      <c r="AE207">
        <v>629336</v>
      </c>
      <c r="AF207" s="10">
        <v>0.09</v>
      </c>
    </row>
    <row r="208" spans="1:32" ht="16" customHeight="1" x14ac:dyDescent="0.25">
      <c r="A208" s="105" t="s">
        <v>1296</v>
      </c>
      <c r="C208" s="3" t="s">
        <v>3</v>
      </c>
      <c r="D208" s="101">
        <v>42678</v>
      </c>
      <c r="E208" s="3" t="s">
        <v>1044</v>
      </c>
      <c r="F208" s="3">
        <v>1.25</v>
      </c>
      <c r="G208" s="3">
        <v>81642000</v>
      </c>
      <c r="H208" s="3">
        <v>1.25</v>
      </c>
      <c r="I208" s="2">
        <v>1.25</v>
      </c>
      <c r="J208" s="4">
        <v>1.25</v>
      </c>
      <c r="K208" s="1">
        <v>0</v>
      </c>
      <c r="L208" s="6">
        <v>0</v>
      </c>
      <c r="M208" s="6">
        <v>0</v>
      </c>
      <c r="N208" s="6">
        <v>2.46E-2</v>
      </c>
      <c r="O208">
        <v>1.22</v>
      </c>
      <c r="P208">
        <v>1.25</v>
      </c>
      <c r="Q208" t="s">
        <v>1045</v>
      </c>
      <c r="R208" s="9" t="s">
        <v>3</v>
      </c>
      <c r="S208" s="3" t="s">
        <v>3</v>
      </c>
      <c r="T208" s="3">
        <v>0</v>
      </c>
      <c r="U208" s="3">
        <v>-0.02</v>
      </c>
      <c r="V208" s="3" t="s">
        <v>1046</v>
      </c>
      <c r="W208" s="3" t="s">
        <v>3</v>
      </c>
      <c r="X208" s="10">
        <v>0</v>
      </c>
      <c r="Y208" s="6" t="e">
        <f>+inf%</f>
        <v>#NAME?</v>
      </c>
      <c r="Z208" s="10">
        <v>0</v>
      </c>
      <c r="AA208" s="6" t="e">
        <f>+inf%</f>
        <v>#NAME?</v>
      </c>
      <c r="AB208" s="102" t="s">
        <v>3</v>
      </c>
      <c r="AC208">
        <v>1.25</v>
      </c>
      <c r="AD208" s="10">
        <v>10000</v>
      </c>
      <c r="AE208">
        <v>13709</v>
      </c>
      <c r="AF208" s="10">
        <v>1.25</v>
      </c>
    </row>
    <row r="209" spans="1:32" ht="16" customHeight="1" x14ac:dyDescent="0.25">
      <c r="A209" s="105" t="s">
        <v>1297</v>
      </c>
      <c r="C209" s="3" t="s">
        <v>1047</v>
      </c>
      <c r="D209" s="101">
        <v>42677</v>
      </c>
      <c r="E209" s="3" t="s">
        <v>1048</v>
      </c>
      <c r="F209" s="3">
        <v>2.65</v>
      </c>
      <c r="G209" s="3">
        <v>15306000</v>
      </c>
      <c r="H209" s="3">
        <v>2.65</v>
      </c>
      <c r="I209" s="2">
        <v>2.65</v>
      </c>
      <c r="J209" s="4">
        <v>2.65</v>
      </c>
      <c r="K209" s="1">
        <v>0</v>
      </c>
      <c r="L209" s="6">
        <v>0</v>
      </c>
      <c r="M209" s="6">
        <v>-0.1196</v>
      </c>
      <c r="N209" s="6">
        <v>1.3451</v>
      </c>
      <c r="O209">
        <v>1.1299999999999999</v>
      </c>
      <c r="P209">
        <v>3.01</v>
      </c>
      <c r="Q209" t="s">
        <v>1049</v>
      </c>
      <c r="R209" s="9">
        <v>33.130000000000003</v>
      </c>
      <c r="S209" s="3" t="s">
        <v>3</v>
      </c>
      <c r="T209" s="3">
        <v>0</v>
      </c>
      <c r="U209" s="3">
        <v>0.08</v>
      </c>
      <c r="V209" s="3" t="s">
        <v>861</v>
      </c>
      <c r="W209" s="3" t="s">
        <v>3</v>
      </c>
      <c r="X209" s="10">
        <v>2.75</v>
      </c>
      <c r="Y209" s="6">
        <v>-3.6600000000000001E-2</v>
      </c>
      <c r="Z209" s="10">
        <v>2.29</v>
      </c>
      <c r="AA209" s="6">
        <v>0.1583</v>
      </c>
      <c r="AB209" s="102">
        <v>7399</v>
      </c>
      <c r="AC209">
        <v>2.65</v>
      </c>
      <c r="AD209" s="10">
        <v>2000</v>
      </c>
      <c r="AE209">
        <v>2000</v>
      </c>
      <c r="AF209" s="10">
        <v>2.65</v>
      </c>
    </row>
    <row r="210" spans="1:32" ht="16" customHeight="1" x14ac:dyDescent="0.25">
      <c r="A210" s="105" t="s">
        <v>1298</v>
      </c>
      <c r="C210" s="3" t="s">
        <v>1050</v>
      </c>
      <c r="D210" s="101">
        <v>42678</v>
      </c>
      <c r="E210" s="3" t="s">
        <v>448</v>
      </c>
      <c r="F210" s="3">
        <v>0.89500000000000002</v>
      </c>
      <c r="G210" s="3" t="s">
        <v>3</v>
      </c>
      <c r="H210" s="3">
        <v>0.875</v>
      </c>
      <c r="I210" s="2">
        <v>0.89500000000000002</v>
      </c>
      <c r="J210" s="4">
        <v>0.875</v>
      </c>
      <c r="K210" s="1">
        <v>0.02</v>
      </c>
      <c r="L210" s="6">
        <v>2.2859999999999998E-2</v>
      </c>
      <c r="M210" s="6">
        <v>-0.10945000000000001</v>
      </c>
      <c r="N210" s="6">
        <v>0.25174999999999997</v>
      </c>
      <c r="O210">
        <v>0.71499999999999997</v>
      </c>
      <c r="P210">
        <v>1.0049999999999999</v>
      </c>
      <c r="Q210" t="s">
        <v>1051</v>
      </c>
      <c r="R210" s="9" t="s">
        <v>3</v>
      </c>
      <c r="S210" s="3" t="s">
        <v>3</v>
      </c>
      <c r="T210" s="3">
        <v>0</v>
      </c>
      <c r="U210" s="3" t="s">
        <v>3</v>
      </c>
      <c r="V210" s="3">
        <v>0</v>
      </c>
      <c r="W210" s="3" t="s">
        <v>3</v>
      </c>
      <c r="X210" s="10">
        <v>0.875</v>
      </c>
      <c r="Y210" s="6">
        <v>2.333E-2</v>
      </c>
      <c r="Z210" s="10">
        <v>0.82099999999999995</v>
      </c>
      <c r="AA210" s="6">
        <v>9.0679999999999997E-2</v>
      </c>
      <c r="AB210" s="102">
        <v>139864</v>
      </c>
      <c r="AC210">
        <v>0.89500000000000002</v>
      </c>
      <c r="AD210" s="10">
        <v>34576</v>
      </c>
      <c r="AE210">
        <v>111076</v>
      </c>
      <c r="AF210" s="10">
        <v>0.875</v>
      </c>
    </row>
    <row r="211" spans="1:32" ht="16" customHeight="1" x14ac:dyDescent="0.25">
      <c r="A211" s="105" t="s">
        <v>1299</v>
      </c>
      <c r="C211" s="3" t="s">
        <v>1052</v>
      </c>
      <c r="D211" s="101">
        <v>42678</v>
      </c>
      <c r="E211" s="3" t="s">
        <v>407</v>
      </c>
      <c r="F211" s="3">
        <v>0.42</v>
      </c>
      <c r="G211" s="3" t="s">
        <v>3</v>
      </c>
      <c r="H211" s="3">
        <v>0.42</v>
      </c>
      <c r="I211" s="2">
        <v>0.43</v>
      </c>
      <c r="J211" s="4">
        <v>0.42</v>
      </c>
      <c r="K211" s="1">
        <v>-0.01</v>
      </c>
      <c r="L211" s="6">
        <v>-1.18E-2</v>
      </c>
      <c r="M211" s="6">
        <v>-0.50880000000000003</v>
      </c>
      <c r="N211" s="6">
        <v>2.8182</v>
      </c>
      <c r="O211">
        <v>0.11</v>
      </c>
      <c r="P211">
        <v>0.86</v>
      </c>
      <c r="Q211" t="s">
        <v>1053</v>
      </c>
      <c r="R211" s="9" t="s">
        <v>3</v>
      </c>
      <c r="S211" s="3" t="s">
        <v>3</v>
      </c>
      <c r="T211" s="3">
        <v>0</v>
      </c>
      <c r="U211" s="3">
        <v>-0.05</v>
      </c>
      <c r="V211" s="3" t="s">
        <v>1054</v>
      </c>
      <c r="W211" s="3" t="s">
        <v>3</v>
      </c>
      <c r="X211" s="10">
        <v>0.47</v>
      </c>
      <c r="Y211" s="6">
        <v>-0.1084</v>
      </c>
      <c r="Z211" s="10">
        <v>0.42</v>
      </c>
      <c r="AA211" s="6">
        <v>-9.2999999999999992E-3</v>
      </c>
      <c r="AB211" s="102">
        <v>725499</v>
      </c>
      <c r="AC211">
        <v>0.42</v>
      </c>
      <c r="AD211" s="10">
        <v>129</v>
      </c>
      <c r="AE211">
        <v>34915</v>
      </c>
      <c r="AF211" s="10">
        <v>0.43</v>
      </c>
    </row>
    <row r="212" spans="1:32" ht="16" customHeight="1" x14ac:dyDescent="0.25">
      <c r="A212" s="105" t="s">
        <v>1300</v>
      </c>
      <c r="C212" s="3" t="s">
        <v>1055</v>
      </c>
      <c r="D212" s="101">
        <v>42678</v>
      </c>
      <c r="E212" s="3" t="s">
        <v>916</v>
      </c>
      <c r="F212" s="3">
        <v>0.28999999999999998</v>
      </c>
      <c r="G212" s="3">
        <v>314454000</v>
      </c>
      <c r="H212" s="3">
        <v>0.28000000000000003</v>
      </c>
      <c r="I212" s="2">
        <v>0.28999999999999998</v>
      </c>
      <c r="J212" s="4">
        <v>0.28000000000000003</v>
      </c>
      <c r="K212" s="1">
        <v>0</v>
      </c>
      <c r="L212" s="6">
        <v>1.7500000000000002E-2</v>
      </c>
      <c r="M212" s="6">
        <v>-0.49569999999999997</v>
      </c>
      <c r="N212" s="6">
        <v>0.1837</v>
      </c>
      <c r="O212">
        <v>0.25</v>
      </c>
      <c r="P212">
        <v>0.56999999999999995</v>
      </c>
      <c r="Q212" t="s">
        <v>1056</v>
      </c>
      <c r="R212" s="9" t="s">
        <v>3</v>
      </c>
      <c r="S212" s="3" t="s">
        <v>3</v>
      </c>
      <c r="T212" s="3">
        <v>0.56000000000000005</v>
      </c>
      <c r="U212" s="3">
        <v>-0.25</v>
      </c>
      <c r="V212" s="3" t="s">
        <v>1057</v>
      </c>
      <c r="W212" s="3" t="s">
        <v>3</v>
      </c>
      <c r="X212" s="10">
        <v>0.27</v>
      </c>
      <c r="Y212" s="6">
        <v>5.6399999999999999E-2</v>
      </c>
      <c r="Z212" s="10">
        <v>0.3</v>
      </c>
      <c r="AA212" s="6">
        <v>-2.9600000000000001E-2</v>
      </c>
      <c r="AB212" s="102">
        <v>1087580</v>
      </c>
      <c r="AC212">
        <v>0.28999999999999998</v>
      </c>
      <c r="AD212" s="10">
        <v>959</v>
      </c>
      <c r="AE212">
        <v>143271</v>
      </c>
      <c r="AF212" s="10">
        <v>0.28000000000000003</v>
      </c>
    </row>
    <row r="213" spans="1:32" ht="16" customHeight="1" x14ac:dyDescent="0.25">
      <c r="A213" s="105" t="s">
        <v>1301</v>
      </c>
      <c r="C213" s="3" t="s">
        <v>1058</v>
      </c>
      <c r="D213" s="101">
        <v>42678</v>
      </c>
      <c r="E213" s="3" t="s">
        <v>1059</v>
      </c>
      <c r="F213" s="3">
        <v>20.41</v>
      </c>
      <c r="G213" s="3" t="s">
        <v>3</v>
      </c>
      <c r="H213" s="3">
        <v>20.37</v>
      </c>
      <c r="I213" s="2">
        <v>20.48</v>
      </c>
      <c r="J213" s="4">
        <v>20.37</v>
      </c>
      <c r="K213" s="1">
        <v>0.01</v>
      </c>
      <c r="L213" s="6">
        <v>5.0000000000000001E-4</v>
      </c>
      <c r="M213" s="6">
        <v>-1.4999999999999999E-2</v>
      </c>
      <c r="N213" s="6">
        <v>1.54E-2</v>
      </c>
      <c r="O213">
        <v>20.100000000000001</v>
      </c>
      <c r="P213">
        <v>20.72</v>
      </c>
      <c r="Q213" t="s">
        <v>3</v>
      </c>
      <c r="R213" s="9" t="s">
        <v>3</v>
      </c>
      <c r="S213" s="3" t="s">
        <v>3</v>
      </c>
      <c r="T213" s="3">
        <v>0</v>
      </c>
      <c r="U213" s="3" t="s">
        <v>3</v>
      </c>
      <c r="V213" s="3" t="s">
        <v>3</v>
      </c>
      <c r="W213" s="3" t="s">
        <v>3</v>
      </c>
      <c r="X213" s="10">
        <v>20.5</v>
      </c>
      <c r="Y213" s="6">
        <v>-4.3E-3</v>
      </c>
      <c r="Z213" s="10">
        <v>20.51</v>
      </c>
      <c r="AA213" s="6">
        <v>-5.0000000000000001E-3</v>
      </c>
      <c r="AB213" s="102">
        <v>10707</v>
      </c>
      <c r="AC213">
        <v>20.41</v>
      </c>
      <c r="AD213" s="10">
        <v>1000</v>
      </c>
      <c r="AE213">
        <v>3673</v>
      </c>
      <c r="AF213" s="10">
        <v>20.399999999999999</v>
      </c>
    </row>
    <row r="214" spans="1:32" ht="16" customHeight="1" x14ac:dyDescent="0.25">
      <c r="A214" s="105" t="s">
        <v>1302</v>
      </c>
      <c r="C214" s="3" t="s">
        <v>1060</v>
      </c>
      <c r="D214" s="101">
        <v>42678</v>
      </c>
      <c r="E214" s="3" t="s">
        <v>407</v>
      </c>
      <c r="F214" s="3">
        <v>1.5</v>
      </c>
      <c r="G214" s="3">
        <v>62525000</v>
      </c>
      <c r="H214" s="3">
        <v>1.52</v>
      </c>
      <c r="I214" s="2">
        <v>1.52</v>
      </c>
      <c r="J214" s="4">
        <v>1.5</v>
      </c>
      <c r="K214" s="1">
        <v>-0.01</v>
      </c>
      <c r="L214" s="6">
        <v>-9.9000000000000008E-3</v>
      </c>
      <c r="M214" s="6">
        <v>-0.69450000000000001</v>
      </c>
      <c r="N214" s="6">
        <v>3.09E-2</v>
      </c>
      <c r="O214">
        <v>1.46</v>
      </c>
      <c r="P214">
        <v>4.91</v>
      </c>
      <c r="Q214" t="s">
        <v>1061</v>
      </c>
      <c r="R214" s="9">
        <v>10.71</v>
      </c>
      <c r="S214" s="3" t="s">
        <v>3</v>
      </c>
      <c r="T214" s="3">
        <v>-1.78</v>
      </c>
      <c r="U214" s="3">
        <v>0.14000000000000001</v>
      </c>
      <c r="V214" s="3" t="s">
        <v>1062</v>
      </c>
      <c r="W214" s="3" t="s">
        <v>3</v>
      </c>
      <c r="X214" s="10">
        <v>1.6</v>
      </c>
      <c r="Y214" s="6">
        <v>-6.2300000000000001E-2</v>
      </c>
      <c r="Z214" s="10">
        <v>1.74</v>
      </c>
      <c r="AA214" s="6">
        <v>-0.13639999999999999</v>
      </c>
      <c r="AB214" s="102">
        <v>292047</v>
      </c>
      <c r="AC214">
        <v>1.5</v>
      </c>
      <c r="AD214" s="10">
        <v>108</v>
      </c>
      <c r="AE214">
        <v>73447</v>
      </c>
      <c r="AF214" s="10">
        <v>1.51</v>
      </c>
    </row>
    <row r="215" spans="1:32" ht="16" customHeight="1" x14ac:dyDescent="0.25">
      <c r="A215" s="105" t="s">
        <v>1303</v>
      </c>
      <c r="C215" s="3" t="s">
        <v>1063</v>
      </c>
      <c r="D215" s="101">
        <v>42678</v>
      </c>
      <c r="E215" s="3" t="s">
        <v>1064</v>
      </c>
      <c r="F215" s="3">
        <v>2.5299999999999998</v>
      </c>
      <c r="G215" s="3">
        <v>18887000</v>
      </c>
      <c r="H215" s="3">
        <v>2.5299999999999998</v>
      </c>
      <c r="I215" s="2">
        <v>2.5299999999999998</v>
      </c>
      <c r="J215" s="4">
        <v>2.5299999999999998</v>
      </c>
      <c r="K215" s="1">
        <v>0</v>
      </c>
      <c r="L215" s="6">
        <v>0</v>
      </c>
      <c r="M215" s="6">
        <v>-0.1336</v>
      </c>
      <c r="N215" s="6">
        <v>0.25869999999999999</v>
      </c>
      <c r="O215">
        <v>2.0099999999999998</v>
      </c>
      <c r="P215">
        <v>2.92</v>
      </c>
      <c r="Q215" t="s">
        <v>1065</v>
      </c>
      <c r="R215" s="9">
        <v>30.12</v>
      </c>
      <c r="S215" s="3" t="s">
        <v>3</v>
      </c>
      <c r="T215" s="3">
        <v>1.6</v>
      </c>
      <c r="U215" s="3">
        <v>0.08</v>
      </c>
      <c r="V215" s="3" t="s">
        <v>1066</v>
      </c>
      <c r="W215" s="3" t="s">
        <v>3</v>
      </c>
      <c r="X215" s="10">
        <v>2.33</v>
      </c>
      <c r="Y215" s="6">
        <v>8.7300000000000003E-2</v>
      </c>
      <c r="Z215" s="10">
        <v>2.31</v>
      </c>
      <c r="AA215" s="6">
        <v>9.4799999999999995E-2</v>
      </c>
      <c r="AB215" s="102">
        <v>12991</v>
      </c>
      <c r="AC215">
        <v>2.5299999999999998</v>
      </c>
      <c r="AD215" s="10">
        <v>500</v>
      </c>
      <c r="AE215">
        <v>2201</v>
      </c>
      <c r="AF215" s="10">
        <v>2.5299999999999998</v>
      </c>
    </row>
    <row r="216" spans="1:32" ht="16" customHeight="1" x14ac:dyDescent="0.25">
      <c r="A216" s="105" t="s">
        <v>1304</v>
      </c>
      <c r="C216" s="3" t="s">
        <v>1067</v>
      </c>
      <c r="D216" s="101">
        <v>42678</v>
      </c>
      <c r="E216" s="3" t="s">
        <v>658</v>
      </c>
      <c r="F216" s="3">
        <v>0.38</v>
      </c>
      <c r="G216" s="3">
        <v>113191000</v>
      </c>
      <c r="H216" s="3">
        <v>0.38</v>
      </c>
      <c r="I216" s="2">
        <v>0.38</v>
      </c>
      <c r="J216" s="4">
        <v>0.38</v>
      </c>
      <c r="K216" s="1">
        <v>-0.02</v>
      </c>
      <c r="L216" s="6">
        <v>-0.05</v>
      </c>
      <c r="M216" s="6">
        <v>-0.1739</v>
      </c>
      <c r="N216" s="6">
        <v>0.94869999999999999</v>
      </c>
      <c r="O216">
        <v>0.19</v>
      </c>
      <c r="P216">
        <v>0.46</v>
      </c>
      <c r="Q216" t="s">
        <v>1068</v>
      </c>
      <c r="R216" s="9" t="s">
        <v>3</v>
      </c>
      <c r="S216" s="3" t="s">
        <v>3</v>
      </c>
      <c r="T216" s="3">
        <v>0</v>
      </c>
      <c r="U216" s="3">
        <v>-0.08</v>
      </c>
      <c r="V216" s="3" t="s">
        <v>1069</v>
      </c>
      <c r="W216" s="3" t="s">
        <v>3</v>
      </c>
      <c r="X216" s="10">
        <v>0.38</v>
      </c>
      <c r="Y216" s="6">
        <v>4.0000000000000002E-4</v>
      </c>
      <c r="Z216" s="10">
        <v>0.31</v>
      </c>
      <c r="AA216" s="6">
        <v>0.22869999999999999</v>
      </c>
      <c r="AB216" s="102">
        <v>220232</v>
      </c>
      <c r="AC216">
        <v>0.38</v>
      </c>
      <c r="AD216" s="10">
        <v>8273</v>
      </c>
      <c r="AE216">
        <v>53813</v>
      </c>
      <c r="AF216" s="10">
        <v>0.4</v>
      </c>
    </row>
    <row r="217" spans="1:32" ht="16" customHeight="1" x14ac:dyDescent="0.25">
      <c r="A217" s="105" t="s">
        <v>1305</v>
      </c>
      <c r="C217" s="3" t="s">
        <v>1070</v>
      </c>
      <c r="D217" s="101">
        <v>42678</v>
      </c>
      <c r="E217" s="3" t="s">
        <v>510</v>
      </c>
      <c r="F217" s="3">
        <v>0.245</v>
      </c>
      <c r="G217" s="3">
        <v>295231000</v>
      </c>
      <c r="H217" s="3">
        <v>0.245</v>
      </c>
      <c r="I217" s="2">
        <v>0.25</v>
      </c>
      <c r="J217" s="4">
        <v>0.23499999999999999</v>
      </c>
      <c r="K217" s="1">
        <v>5.0000000000000001E-3</v>
      </c>
      <c r="L217" s="6">
        <v>2.0830000000000001E-2</v>
      </c>
      <c r="M217" s="6">
        <v>-0.25982</v>
      </c>
      <c r="N217" s="6">
        <v>2.3063400000000001</v>
      </c>
      <c r="O217">
        <v>7.3999999999999996E-2</v>
      </c>
      <c r="P217">
        <v>0.33100000000000002</v>
      </c>
      <c r="Q217" t="s">
        <v>1071</v>
      </c>
      <c r="R217" s="9" t="s">
        <v>3</v>
      </c>
      <c r="S217" s="3" t="s">
        <v>3</v>
      </c>
      <c r="T217" s="3">
        <v>-0.92</v>
      </c>
      <c r="U217" s="3">
        <v>-0.42699999999999999</v>
      </c>
      <c r="V217" s="3" t="s">
        <v>1072</v>
      </c>
      <c r="W217" s="3" t="s">
        <v>3</v>
      </c>
      <c r="X217" s="10">
        <v>0.23599999999999999</v>
      </c>
      <c r="Y217" s="6">
        <v>3.8969999999999998E-2</v>
      </c>
      <c r="Z217" s="10">
        <v>0.188</v>
      </c>
      <c r="AA217" s="6">
        <v>0.30593999999999999</v>
      </c>
      <c r="AB217" s="102">
        <v>543347</v>
      </c>
      <c r="AC217">
        <v>0.245</v>
      </c>
      <c r="AD217" s="10">
        <v>1586</v>
      </c>
      <c r="AE217">
        <v>635779</v>
      </c>
      <c r="AF217" s="10">
        <v>0.24</v>
      </c>
    </row>
    <row r="218" spans="1:32" ht="16" customHeight="1" x14ac:dyDescent="0.25">
      <c r="A218" s="105" t="s">
        <v>1306</v>
      </c>
      <c r="C218" s="3" t="s">
        <v>1073</v>
      </c>
      <c r="D218" s="101">
        <v>42678</v>
      </c>
      <c r="E218" s="3" t="s">
        <v>411</v>
      </c>
      <c r="F218" s="3">
        <v>0.27</v>
      </c>
      <c r="G218" s="3">
        <v>315440000</v>
      </c>
      <c r="H218" s="3">
        <v>0.28000000000000003</v>
      </c>
      <c r="I218" s="2">
        <v>0.28000000000000003</v>
      </c>
      <c r="J218" s="4">
        <v>0.27</v>
      </c>
      <c r="K218" s="1">
        <v>0</v>
      </c>
      <c r="L218" s="6">
        <v>-1.8200000000000001E-2</v>
      </c>
      <c r="M218" s="6">
        <v>-0.47060000000000002</v>
      </c>
      <c r="N218" s="6">
        <v>0.31709999999999999</v>
      </c>
      <c r="O218">
        <v>0.2</v>
      </c>
      <c r="P218">
        <v>0.51</v>
      </c>
      <c r="Q218" t="s">
        <v>1074</v>
      </c>
      <c r="R218" s="9" t="s">
        <v>3</v>
      </c>
      <c r="S218" s="3" t="s">
        <v>3</v>
      </c>
      <c r="T218" s="3">
        <v>0.23</v>
      </c>
      <c r="U218" s="3">
        <v>-0.39</v>
      </c>
      <c r="V218" s="3" t="s">
        <v>1075</v>
      </c>
      <c r="W218" s="3" t="s">
        <v>3</v>
      </c>
      <c r="X218" s="10">
        <v>0.33</v>
      </c>
      <c r="Y218" s="6">
        <v>-0.18529999999999999</v>
      </c>
      <c r="Z218" s="10">
        <v>0.36</v>
      </c>
      <c r="AA218" s="6">
        <v>-0.24709999999999999</v>
      </c>
      <c r="AB218" s="102">
        <v>655554</v>
      </c>
      <c r="AC218">
        <v>0.27</v>
      </c>
      <c r="AD218" s="10">
        <v>96769</v>
      </c>
      <c r="AE218">
        <v>307631</v>
      </c>
      <c r="AF218" s="10">
        <v>0.28000000000000003</v>
      </c>
    </row>
    <row r="219" spans="1:32" ht="16" customHeight="1" x14ac:dyDescent="0.25">
      <c r="A219" s="105" t="s">
        <v>1307</v>
      </c>
      <c r="C219" s="3" t="s">
        <v>1076</v>
      </c>
      <c r="D219" s="101">
        <v>42678</v>
      </c>
      <c r="E219" s="3" t="s">
        <v>460</v>
      </c>
      <c r="F219" s="3">
        <v>3.64</v>
      </c>
      <c r="G219" s="3">
        <v>23422000</v>
      </c>
      <c r="H219" s="3">
        <v>3.64</v>
      </c>
      <c r="I219" s="2">
        <v>3.64</v>
      </c>
      <c r="J219" s="4">
        <v>3.64</v>
      </c>
      <c r="K219" s="1">
        <v>0</v>
      </c>
      <c r="L219" s="6">
        <v>0</v>
      </c>
      <c r="M219" s="6">
        <v>-0.54559999999999997</v>
      </c>
      <c r="N219" s="6">
        <v>3.6999999999999998E-2</v>
      </c>
      <c r="O219">
        <v>3.51</v>
      </c>
      <c r="P219">
        <v>8.01</v>
      </c>
      <c r="Q219" t="s">
        <v>1077</v>
      </c>
      <c r="R219" s="9" t="s">
        <v>3</v>
      </c>
      <c r="S219" s="3" t="s">
        <v>3</v>
      </c>
      <c r="T219" s="3">
        <v>0.82</v>
      </c>
      <c r="U219" s="3">
        <v>-1.72</v>
      </c>
      <c r="V219" s="3">
        <v>465573</v>
      </c>
      <c r="W219" s="3" t="s">
        <v>3</v>
      </c>
      <c r="X219" s="10">
        <v>3.89</v>
      </c>
      <c r="Y219" s="6">
        <v>-6.3899999999999998E-2</v>
      </c>
      <c r="Z219" s="10">
        <v>4.43</v>
      </c>
      <c r="AA219" s="6">
        <v>-0.1779</v>
      </c>
      <c r="AB219" s="102">
        <v>60454</v>
      </c>
      <c r="AC219">
        <v>3.64</v>
      </c>
      <c r="AD219" s="10">
        <v>294</v>
      </c>
      <c r="AE219">
        <v>1000</v>
      </c>
      <c r="AF219" s="10">
        <v>3.64</v>
      </c>
    </row>
    <row r="220" spans="1:32" ht="16" customHeight="1" x14ac:dyDescent="0.25">
      <c r="A220" s="105" t="s">
        <v>1308</v>
      </c>
      <c r="C220" s="3" t="s">
        <v>1078</v>
      </c>
      <c r="D220" s="101">
        <v>42678</v>
      </c>
      <c r="E220" s="3" t="s">
        <v>685</v>
      </c>
      <c r="F220" s="3">
        <v>1.08</v>
      </c>
      <c r="G220" s="3">
        <v>52448000</v>
      </c>
      <c r="H220" s="3">
        <v>1.0900000000000001</v>
      </c>
      <c r="I220" s="2">
        <v>1.0900000000000001</v>
      </c>
      <c r="J220" s="4">
        <v>1.08</v>
      </c>
      <c r="K220" s="1">
        <v>-0.02</v>
      </c>
      <c r="L220" s="6">
        <v>-1.8200000000000001E-2</v>
      </c>
      <c r="M220" s="6">
        <v>-0.16919999999999999</v>
      </c>
      <c r="N220" s="6">
        <v>0.15509999999999999</v>
      </c>
      <c r="O220">
        <v>0.94</v>
      </c>
      <c r="P220">
        <v>1.3</v>
      </c>
      <c r="Q220" t="s">
        <v>1079</v>
      </c>
      <c r="R220" s="9">
        <v>8.7100000000000009</v>
      </c>
      <c r="S220" s="3" t="s">
        <v>3</v>
      </c>
      <c r="T220" s="3">
        <v>0</v>
      </c>
      <c r="U220" s="3">
        <v>0.12</v>
      </c>
      <c r="V220" s="3">
        <v>0</v>
      </c>
      <c r="W220" s="3" t="s">
        <v>3</v>
      </c>
      <c r="X220" s="10">
        <v>1.08</v>
      </c>
      <c r="Y220" s="6">
        <v>-2.0000000000000001E-4</v>
      </c>
      <c r="Z220" s="10">
        <v>1.0900000000000001</v>
      </c>
      <c r="AA220" s="6">
        <v>-1.32E-2</v>
      </c>
      <c r="AB220" s="102">
        <v>87994</v>
      </c>
      <c r="AC220">
        <v>1.08</v>
      </c>
      <c r="AD220" s="10">
        <v>2000</v>
      </c>
      <c r="AE220">
        <v>90040</v>
      </c>
      <c r="AF220" s="10">
        <v>1.1000000000000001</v>
      </c>
    </row>
    <row r="221" spans="1:32" ht="16" customHeight="1" x14ac:dyDescent="0.25">
      <c r="A221" s="105" t="s">
        <v>1309</v>
      </c>
      <c r="C221" s="3" t="s">
        <v>1080</v>
      </c>
      <c r="D221" s="101">
        <v>42678</v>
      </c>
      <c r="E221" s="3" t="s">
        <v>1081</v>
      </c>
      <c r="F221" s="3">
        <v>4.9000000000000002E-2</v>
      </c>
      <c r="G221" s="3">
        <v>696981000</v>
      </c>
      <c r="H221" s="3">
        <v>0.05</v>
      </c>
      <c r="I221" s="2">
        <v>0.05</v>
      </c>
      <c r="J221" s="4">
        <v>4.9000000000000002E-2</v>
      </c>
      <c r="K221" s="1">
        <v>0</v>
      </c>
      <c r="L221" s="6">
        <v>0</v>
      </c>
      <c r="M221" s="6">
        <v>-0.18332999999999999</v>
      </c>
      <c r="N221" s="6">
        <v>1.5789500000000001</v>
      </c>
      <c r="O221">
        <v>1.9E-2</v>
      </c>
      <c r="P221">
        <v>0.06</v>
      </c>
      <c r="Q221" t="s">
        <v>1082</v>
      </c>
      <c r="R221" s="9" t="s">
        <v>3</v>
      </c>
      <c r="S221" s="3" t="s">
        <v>3</v>
      </c>
      <c r="T221" s="3">
        <v>0</v>
      </c>
      <c r="U221" s="3">
        <v>0</v>
      </c>
      <c r="V221" s="3">
        <v>-804998</v>
      </c>
      <c r="W221" s="3" t="s">
        <v>3</v>
      </c>
      <c r="X221" s="10">
        <v>4.7E-2</v>
      </c>
      <c r="Y221" s="6">
        <v>3.9559999999999998E-2</v>
      </c>
      <c r="Z221" s="10">
        <v>4.3999999999999997E-2</v>
      </c>
      <c r="AA221" s="6">
        <v>0.12339</v>
      </c>
      <c r="AB221" s="102">
        <v>1229050</v>
      </c>
      <c r="AC221">
        <v>4.9000000000000002E-2</v>
      </c>
      <c r="AD221" s="10">
        <v>15000</v>
      </c>
      <c r="AE221">
        <v>475006</v>
      </c>
      <c r="AF221" s="10">
        <v>4.9000000000000002E-2</v>
      </c>
    </row>
    <row r="222" spans="1:32" ht="16" customHeight="1" x14ac:dyDescent="0.25">
      <c r="A222" s="105" t="s">
        <v>1310</v>
      </c>
      <c r="C222" s="3" t="s">
        <v>1083</v>
      </c>
      <c r="D222" s="101">
        <v>42678</v>
      </c>
      <c r="E222" s="3" t="s">
        <v>649</v>
      </c>
      <c r="F222" s="3">
        <v>0.51</v>
      </c>
      <c r="G222" s="3">
        <v>89341000</v>
      </c>
      <c r="H222" s="3">
        <v>0.52</v>
      </c>
      <c r="I222" s="2">
        <v>0.52</v>
      </c>
      <c r="J222" s="4">
        <v>0.51</v>
      </c>
      <c r="K222" s="1">
        <v>-0.01</v>
      </c>
      <c r="L222" s="6">
        <v>-2.86E-2</v>
      </c>
      <c r="M222" s="6">
        <v>-0.27660000000000001</v>
      </c>
      <c r="N222" s="6">
        <v>3.0300000000000001E-2</v>
      </c>
      <c r="O222">
        <v>0.5</v>
      </c>
      <c r="P222">
        <v>0.7</v>
      </c>
      <c r="Q222" t="s">
        <v>1084</v>
      </c>
      <c r="R222" s="9" t="s">
        <v>3</v>
      </c>
      <c r="S222" s="3" t="s">
        <v>3</v>
      </c>
      <c r="T222" s="3">
        <v>4.21</v>
      </c>
      <c r="U222" s="3">
        <v>-0.01</v>
      </c>
      <c r="V222" s="3" t="s">
        <v>1085</v>
      </c>
      <c r="W222" s="3" t="s">
        <v>3</v>
      </c>
      <c r="X222" s="10">
        <v>0.53</v>
      </c>
      <c r="Y222" s="6">
        <v>-4.4999999999999998E-2</v>
      </c>
      <c r="Z222" s="10">
        <v>0.56999999999999995</v>
      </c>
      <c r="AA222" s="6">
        <v>-0.1113</v>
      </c>
      <c r="AB222" s="102">
        <v>149303</v>
      </c>
      <c r="AC222">
        <v>0.51</v>
      </c>
      <c r="AD222" s="10">
        <v>4924</v>
      </c>
      <c r="AE222">
        <v>131525</v>
      </c>
      <c r="AF222" s="10">
        <v>0.52</v>
      </c>
    </row>
    <row r="223" spans="1:32" ht="16" customHeight="1" x14ac:dyDescent="0.25">
      <c r="A223" s="105" t="s">
        <v>1311</v>
      </c>
      <c r="C223" s="3" t="s">
        <v>1086</v>
      </c>
      <c r="D223" s="101">
        <v>42678</v>
      </c>
      <c r="E223" s="3" t="s">
        <v>1087</v>
      </c>
      <c r="F223" s="3">
        <v>0.04</v>
      </c>
      <c r="G223" s="3">
        <v>1264054000</v>
      </c>
      <c r="H223" s="3">
        <v>0.04</v>
      </c>
      <c r="I223" s="2">
        <v>0.04</v>
      </c>
      <c r="J223" s="4">
        <v>0.04</v>
      </c>
      <c r="K223" s="1">
        <v>0</v>
      </c>
      <c r="L223" s="6">
        <v>2.5600000000000001E-2</v>
      </c>
      <c r="M223" s="6">
        <v>-0.1489</v>
      </c>
      <c r="N223" s="6">
        <v>19</v>
      </c>
      <c r="O223">
        <v>0</v>
      </c>
      <c r="P223">
        <v>0.05</v>
      </c>
      <c r="Q223" t="s">
        <v>1088</v>
      </c>
      <c r="R223" s="9" t="s">
        <v>3</v>
      </c>
      <c r="S223" s="3" t="s">
        <v>3</v>
      </c>
      <c r="T223" s="3">
        <v>0</v>
      </c>
      <c r="U223" s="3">
        <v>-0.03</v>
      </c>
      <c r="V223" s="3" t="s">
        <v>1089</v>
      </c>
      <c r="W223" s="3" t="s">
        <v>3</v>
      </c>
      <c r="X223" s="10">
        <v>0.04</v>
      </c>
      <c r="Y223" s="6">
        <v>0.1045</v>
      </c>
      <c r="Z223" s="10">
        <v>0.02</v>
      </c>
      <c r="AA223" s="6">
        <v>1.1533</v>
      </c>
      <c r="AB223" s="102">
        <v>3988730</v>
      </c>
      <c r="AC223">
        <v>0.04</v>
      </c>
      <c r="AD223" s="10">
        <v>246936</v>
      </c>
      <c r="AE223">
        <v>6956708</v>
      </c>
      <c r="AF223" s="10">
        <v>0.04</v>
      </c>
    </row>
    <row r="224" spans="1:32" ht="16" customHeight="1" thickBot="1" x14ac:dyDescent="0.3">
      <c r="A224" s="106" t="s">
        <v>1312</v>
      </c>
      <c r="C224" s="3" t="s">
        <v>1090</v>
      </c>
      <c r="D224" s="101">
        <v>42678</v>
      </c>
      <c r="E224" s="3" t="s">
        <v>1091</v>
      </c>
      <c r="F224" s="3">
        <v>3.88</v>
      </c>
      <c r="G224" s="3">
        <v>9898000</v>
      </c>
      <c r="H224" s="3">
        <v>3.93</v>
      </c>
      <c r="I224" s="2">
        <v>3.95</v>
      </c>
      <c r="J224" s="4">
        <v>3.88</v>
      </c>
      <c r="K224" s="1">
        <v>-0.05</v>
      </c>
      <c r="L224" s="6">
        <v>-1.2699999999999999E-2</v>
      </c>
      <c r="M224" s="6">
        <v>-2.76E-2</v>
      </c>
      <c r="N224" s="6">
        <v>0.38569999999999999</v>
      </c>
      <c r="O224">
        <v>2.8</v>
      </c>
      <c r="P224">
        <v>3.99</v>
      </c>
      <c r="Q224" t="s">
        <v>1092</v>
      </c>
      <c r="R224" s="9">
        <v>12.32</v>
      </c>
      <c r="S224" s="3" t="s">
        <v>3</v>
      </c>
      <c r="T224" s="3">
        <v>0</v>
      </c>
      <c r="U224" s="3">
        <v>0.31</v>
      </c>
      <c r="V224" s="3" t="s">
        <v>1093</v>
      </c>
      <c r="W224" s="3" t="s">
        <v>3</v>
      </c>
      <c r="X224" s="10">
        <v>3.69</v>
      </c>
      <c r="Y224" s="6">
        <v>5.0299999999999997E-2</v>
      </c>
      <c r="Z224" s="10">
        <v>3.31</v>
      </c>
      <c r="AA224" s="6">
        <v>0.1734</v>
      </c>
      <c r="AB224" s="102">
        <v>13042</v>
      </c>
      <c r="AC224">
        <v>3.88</v>
      </c>
      <c r="AD224" s="10">
        <v>1519</v>
      </c>
      <c r="AE224">
        <v>10034</v>
      </c>
      <c r="AF224" s="10">
        <v>3.93</v>
      </c>
    </row>
    <row r="225" spans="3:3" ht="16" customHeight="1" x14ac:dyDescent="0.25">
      <c r="C225" s="3" t="s">
        <v>173</v>
      </c>
    </row>
    <row r="226" spans="3:3" ht="16" customHeight="1" x14ac:dyDescent="0.25"/>
    <row r="227" spans="3:3" ht="16" customHeight="1" x14ac:dyDescent="0.25"/>
    <row r="228" spans="3:3" ht="16" customHeight="1" x14ac:dyDescent="0.25"/>
    <row r="229" spans="3:3" ht="16" customHeight="1" x14ac:dyDescent="0.25"/>
    <row r="230" spans="3:3" ht="16" customHeight="1" x14ac:dyDescent="0.25"/>
    <row r="231" spans="3:3" ht="16" customHeight="1" x14ac:dyDescent="0.25"/>
    <row r="232" spans="3:3" ht="16" customHeight="1" x14ac:dyDescent="0.25"/>
    <row r="233" spans="3:3" ht="16" customHeight="1" x14ac:dyDescent="0.25"/>
    <row r="234" spans="3:3" ht="16" customHeight="1" x14ac:dyDescent="0.25"/>
    <row r="235" spans="3:3" ht="16" customHeight="1" x14ac:dyDescent="0.25"/>
    <row r="236" spans="3:3" ht="16" customHeight="1" x14ac:dyDescent="0.25"/>
    <row r="237" spans="3:3" ht="16" customHeight="1" x14ac:dyDescent="0.25"/>
    <row r="238" spans="3:3" ht="16" customHeight="1" x14ac:dyDescent="0.25"/>
    <row r="239" spans="3:3" ht="16" customHeight="1" x14ac:dyDescent="0.25"/>
    <row r="240" spans="3:3" ht="16" customHeight="1" x14ac:dyDescent="0.25"/>
    <row r="241" ht="16" customHeight="1" x14ac:dyDescent="0.25"/>
    <row r="242" ht="16" customHeight="1" x14ac:dyDescent="0.25"/>
    <row r="243" ht="16" customHeight="1" x14ac:dyDescent="0.25"/>
    <row r="244" ht="16" customHeight="1" x14ac:dyDescent="0.25"/>
    <row r="245" ht="16" customHeight="1" x14ac:dyDescent="0.25"/>
    <row r="246" ht="16" customHeight="1" x14ac:dyDescent="0.25"/>
    <row r="247" ht="16" customHeight="1" x14ac:dyDescent="0.25"/>
    <row r="248" ht="16" customHeight="1" x14ac:dyDescent="0.25"/>
    <row r="249" ht="16" customHeight="1" x14ac:dyDescent="0.25"/>
    <row r="250" ht="16" customHeight="1" x14ac:dyDescent="0.25"/>
    <row r="251" ht="16" customHeight="1" x14ac:dyDescent="0.25"/>
    <row r="252" ht="16" customHeight="1" x14ac:dyDescent="0.25"/>
    <row r="253" ht="16" customHeight="1" x14ac:dyDescent="0.25"/>
    <row r="254" ht="16" customHeight="1" x14ac:dyDescent="0.25"/>
    <row r="255" ht="16" customHeight="1" x14ac:dyDescent="0.25"/>
    <row r="256" ht="16" customHeight="1" x14ac:dyDescent="0.25"/>
    <row r="257" ht="16" customHeight="1" x14ac:dyDescent="0.25"/>
    <row r="258" ht="16" customHeight="1" x14ac:dyDescent="0.25"/>
    <row r="259" ht="16" customHeight="1" x14ac:dyDescent="0.25"/>
    <row r="260" ht="16" customHeight="1" x14ac:dyDescent="0.25"/>
    <row r="261" ht="16" customHeight="1" x14ac:dyDescent="0.25"/>
    <row r="262" ht="16" customHeight="1" x14ac:dyDescent="0.25"/>
    <row r="263" ht="16" customHeight="1" x14ac:dyDescent="0.25"/>
    <row r="264" ht="16" customHeight="1" x14ac:dyDescent="0.25"/>
    <row r="265" ht="16" customHeight="1" x14ac:dyDescent="0.25"/>
    <row r="266" ht="16" customHeight="1" x14ac:dyDescent="0.25"/>
    <row r="267" ht="16" customHeight="1" x14ac:dyDescent="0.25"/>
    <row r="268" ht="16" customHeight="1" x14ac:dyDescent="0.25"/>
    <row r="269" ht="16" customHeight="1" x14ac:dyDescent="0.25"/>
    <row r="270" ht="16" customHeight="1" x14ac:dyDescent="0.25"/>
    <row r="271" ht="16" customHeight="1" x14ac:dyDescent="0.25"/>
    <row r="272" ht="16" customHeight="1" x14ac:dyDescent="0.25"/>
    <row r="273" ht="16" customHeight="1" x14ac:dyDescent="0.25"/>
    <row r="274" ht="16" customHeight="1" x14ac:dyDescent="0.25"/>
    <row r="275" ht="16" customHeight="1" x14ac:dyDescent="0.25"/>
    <row r="276" ht="16" customHeight="1" x14ac:dyDescent="0.25"/>
    <row r="277" ht="16" customHeight="1" x14ac:dyDescent="0.25"/>
    <row r="278" ht="16" customHeight="1" x14ac:dyDescent="0.25"/>
    <row r="279" ht="16" customHeight="1" x14ac:dyDescent="0.25"/>
    <row r="280" ht="16" customHeight="1" x14ac:dyDescent="0.25"/>
    <row r="281" ht="16" customHeight="1" x14ac:dyDescent="0.25"/>
    <row r="282" ht="16" customHeight="1" x14ac:dyDescent="0.25"/>
    <row r="283" ht="16" customHeight="1" x14ac:dyDescent="0.25"/>
    <row r="284" ht="16" customHeight="1" x14ac:dyDescent="0.25"/>
    <row r="285" ht="16" customHeight="1" x14ac:dyDescent="0.25"/>
    <row r="286" ht="16" customHeight="1" x14ac:dyDescent="0.25"/>
    <row r="287" ht="16" customHeight="1" x14ac:dyDescent="0.25"/>
    <row r="288" ht="16" customHeight="1" x14ac:dyDescent="0.25"/>
    <row r="289" ht="16" customHeight="1" x14ac:dyDescent="0.25"/>
    <row r="290" ht="16" customHeight="1" x14ac:dyDescent="0.25"/>
    <row r="291" ht="16" customHeight="1" x14ac:dyDescent="0.25"/>
    <row r="292" ht="16" customHeight="1" x14ac:dyDescent="0.25"/>
    <row r="293" ht="16" customHeight="1" x14ac:dyDescent="0.25"/>
    <row r="294" ht="16" customHeight="1" x14ac:dyDescent="0.25"/>
    <row r="295" ht="16" customHeight="1" x14ac:dyDescent="0.25"/>
    <row r="296" ht="16" customHeight="1" x14ac:dyDescent="0.25"/>
    <row r="297" ht="16" customHeight="1" x14ac:dyDescent="0.25"/>
    <row r="298" ht="16" customHeight="1" x14ac:dyDescent="0.25"/>
    <row r="299" ht="16" customHeight="1" x14ac:dyDescent="0.25"/>
    <row r="300" ht="16" customHeight="1" x14ac:dyDescent="0.25"/>
    <row r="301" ht="16" customHeight="1" x14ac:dyDescent="0.25"/>
    <row r="302" ht="16" customHeight="1" x14ac:dyDescent="0.25"/>
    <row r="303" ht="16" customHeight="1" x14ac:dyDescent="0.25"/>
    <row r="304" ht="16" customHeight="1" x14ac:dyDescent="0.25"/>
    <row r="305" ht="16" customHeight="1" x14ac:dyDescent="0.25"/>
    <row r="306" ht="16" customHeight="1" x14ac:dyDescent="0.25"/>
    <row r="307" ht="16" customHeight="1" x14ac:dyDescent="0.25"/>
    <row r="308" ht="16" customHeight="1" x14ac:dyDescent="0.25"/>
    <row r="309" ht="16" customHeight="1" x14ac:dyDescent="0.25"/>
    <row r="310" ht="16" customHeight="1" x14ac:dyDescent="0.25"/>
    <row r="311" ht="16" customHeight="1" x14ac:dyDescent="0.25"/>
    <row r="312" ht="16" customHeight="1" x14ac:dyDescent="0.25"/>
    <row r="313" ht="16" customHeight="1" x14ac:dyDescent="0.25"/>
    <row r="314" ht="16" customHeight="1" x14ac:dyDescent="0.25"/>
    <row r="315" ht="16" customHeight="1" x14ac:dyDescent="0.25"/>
    <row r="316" ht="16" customHeight="1" x14ac:dyDescent="0.25"/>
    <row r="317" ht="16" customHeight="1" x14ac:dyDescent="0.25"/>
    <row r="318" ht="16" customHeight="1" x14ac:dyDescent="0.25"/>
    <row r="319" ht="16" customHeight="1" x14ac:dyDescent="0.25"/>
    <row r="320" ht="16" customHeight="1" x14ac:dyDescent="0.25"/>
    <row r="321" ht="16" customHeight="1" x14ac:dyDescent="0.25"/>
    <row r="322" ht="16" customHeight="1" x14ac:dyDescent="0.25"/>
    <row r="323" ht="16" customHeight="1" x14ac:dyDescent="0.25"/>
    <row r="324" ht="16" customHeight="1" x14ac:dyDescent="0.25"/>
    <row r="325" ht="16" customHeight="1" x14ac:dyDescent="0.25"/>
    <row r="326" ht="16" customHeight="1" x14ac:dyDescent="0.25"/>
    <row r="327" ht="16" customHeight="1" x14ac:dyDescent="0.25"/>
    <row r="328" ht="16" customHeight="1" x14ac:dyDescent="0.25"/>
    <row r="329" ht="16" customHeight="1" x14ac:dyDescent="0.25"/>
    <row r="330" ht="16" customHeight="1" x14ac:dyDescent="0.25"/>
    <row r="331" ht="16" customHeight="1" x14ac:dyDescent="0.25"/>
    <row r="332" ht="16" customHeight="1" x14ac:dyDescent="0.25"/>
    <row r="333" ht="16" customHeight="1" x14ac:dyDescent="0.25"/>
    <row r="334" ht="16" customHeight="1" x14ac:dyDescent="0.25"/>
    <row r="335" ht="16" customHeight="1" x14ac:dyDescent="0.25"/>
    <row r="336" ht="16" customHeight="1" x14ac:dyDescent="0.25"/>
    <row r="337" ht="16" customHeight="1" x14ac:dyDescent="0.25"/>
    <row r="338" ht="16" customHeight="1" x14ac:dyDescent="0.25"/>
    <row r="339" ht="16" customHeight="1" x14ac:dyDescent="0.25"/>
    <row r="340" ht="16" customHeight="1" x14ac:dyDescent="0.25"/>
    <row r="341" ht="16" customHeight="1" x14ac:dyDescent="0.25"/>
    <row r="342" ht="16" customHeight="1" x14ac:dyDescent="0.25"/>
    <row r="343" ht="16" customHeight="1" x14ac:dyDescent="0.25"/>
    <row r="344" ht="16" customHeight="1" x14ac:dyDescent="0.25"/>
    <row r="345" ht="16" customHeight="1" x14ac:dyDescent="0.25"/>
    <row r="346" ht="16" customHeight="1" x14ac:dyDescent="0.25"/>
    <row r="347" ht="16" customHeight="1" x14ac:dyDescent="0.25"/>
    <row r="348" ht="16" customHeight="1" x14ac:dyDescent="0.25"/>
    <row r="349" ht="16" customHeight="1" x14ac:dyDescent="0.25"/>
    <row r="350" ht="16" customHeight="1" x14ac:dyDescent="0.25"/>
    <row r="351" ht="16" customHeight="1" x14ac:dyDescent="0.25"/>
    <row r="352" ht="16" customHeight="1" x14ac:dyDescent="0.25"/>
    <row r="353" ht="16" customHeight="1" x14ac:dyDescent="0.25"/>
    <row r="354" ht="16" customHeight="1" x14ac:dyDescent="0.25"/>
    <row r="355" ht="16" customHeight="1" x14ac:dyDescent="0.25"/>
    <row r="356" ht="16" customHeight="1" x14ac:dyDescent="0.25"/>
    <row r="357" ht="16" customHeight="1" x14ac:dyDescent="0.25"/>
    <row r="358" ht="16" customHeight="1" x14ac:dyDescent="0.25"/>
    <row r="359" ht="16" customHeight="1" x14ac:dyDescent="0.25"/>
    <row r="360" ht="16" customHeight="1" x14ac:dyDescent="0.25"/>
    <row r="361" ht="16" customHeight="1" x14ac:dyDescent="0.25"/>
    <row r="362" ht="16" customHeight="1" x14ac:dyDescent="0.25"/>
    <row r="363" ht="16" customHeight="1" x14ac:dyDescent="0.25"/>
    <row r="364" ht="16" customHeight="1" x14ac:dyDescent="0.25"/>
    <row r="365" ht="16" customHeight="1" x14ac:dyDescent="0.25"/>
    <row r="366" ht="16" customHeight="1" x14ac:dyDescent="0.25"/>
    <row r="367" ht="16" customHeight="1" x14ac:dyDescent="0.25"/>
    <row r="368" ht="16" customHeight="1" x14ac:dyDescent="0.25"/>
    <row r="369" ht="16" customHeight="1" x14ac:dyDescent="0.25"/>
    <row r="370" ht="16" customHeight="1" x14ac:dyDescent="0.25"/>
    <row r="371" ht="16" customHeight="1" x14ac:dyDescent="0.25"/>
    <row r="372" ht="16" customHeight="1" x14ac:dyDescent="0.25"/>
    <row r="373" ht="16" customHeight="1" x14ac:dyDescent="0.25"/>
    <row r="374" ht="16" customHeight="1" x14ac:dyDescent="0.25"/>
    <row r="375" ht="16" customHeight="1" x14ac:dyDescent="0.25"/>
    <row r="376" ht="16" customHeight="1" x14ac:dyDescent="0.25"/>
    <row r="377" ht="16" customHeight="1" x14ac:dyDescent="0.25"/>
    <row r="378" ht="16" customHeight="1" x14ac:dyDescent="0.25"/>
    <row r="379" ht="16" customHeight="1" x14ac:dyDescent="0.25"/>
    <row r="380" ht="16" customHeight="1" x14ac:dyDescent="0.25"/>
    <row r="381" ht="16" customHeight="1" x14ac:dyDescent="0.25"/>
    <row r="382" ht="16" customHeight="1" x14ac:dyDescent="0.25"/>
    <row r="383" ht="16" customHeight="1" x14ac:dyDescent="0.25"/>
    <row r="384" ht="16" customHeight="1" x14ac:dyDescent="0.25"/>
    <row r="385" ht="16" customHeight="1" x14ac:dyDescent="0.25"/>
    <row r="386" ht="16" customHeight="1" x14ac:dyDescent="0.25"/>
    <row r="387" ht="16" customHeight="1" x14ac:dyDescent="0.25"/>
    <row r="388" ht="16" customHeight="1" x14ac:dyDescent="0.25"/>
    <row r="389" ht="16" customHeight="1" x14ac:dyDescent="0.25"/>
    <row r="390" ht="16" customHeight="1" x14ac:dyDescent="0.25"/>
    <row r="391" ht="16" customHeight="1" x14ac:dyDescent="0.25"/>
    <row r="392" ht="16" customHeight="1" x14ac:dyDescent="0.25"/>
    <row r="393" ht="16" customHeight="1" x14ac:dyDescent="0.25"/>
    <row r="394" ht="16" customHeight="1" x14ac:dyDescent="0.25"/>
    <row r="395" ht="16" customHeight="1" x14ac:dyDescent="0.25"/>
    <row r="396" ht="16" customHeight="1" x14ac:dyDescent="0.25"/>
    <row r="397" ht="16" customHeight="1" x14ac:dyDescent="0.25"/>
    <row r="398" ht="16" customHeight="1" x14ac:dyDescent="0.25"/>
    <row r="399" ht="16" customHeight="1" x14ac:dyDescent="0.25"/>
    <row r="400" ht="16" customHeight="1" x14ac:dyDescent="0.25"/>
    <row r="401" ht="16" customHeight="1" x14ac:dyDescent="0.25"/>
    <row r="402" ht="16" customHeight="1" x14ac:dyDescent="0.25"/>
    <row r="403" ht="16" customHeight="1" x14ac:dyDescent="0.25"/>
    <row r="404" ht="16" customHeight="1" x14ac:dyDescent="0.25"/>
    <row r="405" ht="16" customHeight="1" x14ac:dyDescent="0.25"/>
    <row r="406" ht="16" customHeight="1" x14ac:dyDescent="0.25"/>
    <row r="407" ht="16" customHeight="1" x14ac:dyDescent="0.25"/>
    <row r="408" ht="16" customHeight="1" x14ac:dyDescent="0.25"/>
    <row r="409" ht="16" customHeight="1" x14ac:dyDescent="0.25"/>
    <row r="410" ht="16" customHeight="1" x14ac:dyDescent="0.25"/>
    <row r="411" ht="16" customHeight="1" x14ac:dyDescent="0.25"/>
    <row r="412" ht="16" customHeight="1" x14ac:dyDescent="0.25"/>
    <row r="413" ht="16" customHeight="1" x14ac:dyDescent="0.25"/>
    <row r="414" ht="16" customHeight="1" x14ac:dyDescent="0.25"/>
    <row r="415" ht="16" customHeight="1" x14ac:dyDescent="0.25"/>
    <row r="416" ht="16" customHeight="1" x14ac:dyDescent="0.25"/>
    <row r="417" ht="16" customHeight="1" x14ac:dyDescent="0.25"/>
    <row r="418" ht="16" customHeight="1" x14ac:dyDescent="0.25"/>
    <row r="419" ht="16" customHeight="1" x14ac:dyDescent="0.25"/>
    <row r="420" ht="16" customHeight="1" x14ac:dyDescent="0.25"/>
    <row r="421" ht="16" customHeight="1" x14ac:dyDescent="0.25"/>
    <row r="422" ht="16" customHeight="1" x14ac:dyDescent="0.25"/>
    <row r="423" ht="16" customHeight="1" x14ac:dyDescent="0.25"/>
    <row r="424" ht="16" customHeight="1" x14ac:dyDescent="0.25"/>
    <row r="425" ht="16" customHeight="1" x14ac:dyDescent="0.25"/>
    <row r="426" ht="16" customHeight="1" x14ac:dyDescent="0.25"/>
    <row r="427" ht="16" customHeight="1" x14ac:dyDescent="0.25"/>
    <row r="428" ht="16" customHeight="1" x14ac:dyDescent="0.25"/>
    <row r="429" ht="16" customHeight="1" x14ac:dyDescent="0.25"/>
    <row r="430" ht="16" customHeight="1" x14ac:dyDescent="0.25"/>
    <row r="431" ht="16" customHeight="1" x14ac:dyDescent="0.25"/>
    <row r="432" ht="16" customHeight="1" x14ac:dyDescent="0.25"/>
    <row r="433" ht="16" customHeight="1" x14ac:dyDescent="0.25"/>
    <row r="434" ht="16" customHeight="1" x14ac:dyDescent="0.25"/>
    <row r="435" ht="16" customHeight="1" x14ac:dyDescent="0.25"/>
    <row r="436" ht="16" customHeight="1" x14ac:dyDescent="0.25"/>
    <row r="437" ht="16" customHeight="1" x14ac:dyDescent="0.25"/>
    <row r="438" ht="16" customHeight="1" x14ac:dyDescent="0.25"/>
    <row r="439" ht="16" customHeight="1" x14ac:dyDescent="0.25"/>
    <row r="440" ht="16" customHeight="1" x14ac:dyDescent="0.25"/>
    <row r="441" ht="16" customHeight="1" x14ac:dyDescent="0.25"/>
    <row r="442" ht="16" customHeight="1" x14ac:dyDescent="0.25"/>
    <row r="443" ht="16" customHeight="1" x14ac:dyDescent="0.25"/>
    <row r="444" ht="16" customHeight="1" x14ac:dyDescent="0.25"/>
    <row r="445" ht="16" customHeight="1" x14ac:dyDescent="0.25"/>
    <row r="446" ht="16" customHeight="1" x14ac:dyDescent="0.25"/>
    <row r="447" ht="16" customHeight="1" x14ac:dyDescent="0.25"/>
    <row r="448" ht="16" customHeight="1" x14ac:dyDescent="0.25"/>
    <row r="449" ht="16" customHeight="1" x14ac:dyDescent="0.25"/>
    <row r="450" ht="16" customHeight="1" x14ac:dyDescent="0.25"/>
    <row r="451" ht="16" customHeight="1" x14ac:dyDescent="0.25"/>
    <row r="452" ht="16" customHeight="1" x14ac:dyDescent="0.25"/>
    <row r="453" ht="16" customHeight="1" x14ac:dyDescent="0.25"/>
    <row r="454" ht="16" customHeight="1" x14ac:dyDescent="0.25"/>
    <row r="455" ht="16" customHeight="1" x14ac:dyDescent="0.25"/>
    <row r="456" ht="16" customHeight="1" x14ac:dyDescent="0.25"/>
    <row r="457" ht="16" customHeight="1" x14ac:dyDescent="0.25"/>
    <row r="458" ht="16" customHeight="1" x14ac:dyDescent="0.25"/>
    <row r="459" ht="16" customHeight="1" x14ac:dyDescent="0.25"/>
    <row r="460" ht="16" customHeight="1" x14ac:dyDescent="0.25"/>
    <row r="461" ht="16" customHeight="1" x14ac:dyDescent="0.25"/>
    <row r="462" ht="16" customHeight="1" x14ac:dyDescent="0.25"/>
    <row r="463" ht="16" customHeight="1" x14ac:dyDescent="0.25"/>
    <row r="464" ht="16" customHeight="1" x14ac:dyDescent="0.25"/>
    <row r="465" ht="16" customHeight="1" x14ac:dyDescent="0.25"/>
    <row r="466" ht="16" customHeight="1" x14ac:dyDescent="0.25"/>
    <row r="467" ht="16" customHeight="1" x14ac:dyDescent="0.25"/>
    <row r="468" ht="16" customHeight="1" x14ac:dyDescent="0.25"/>
    <row r="469" ht="16" customHeight="1" x14ac:dyDescent="0.25"/>
    <row r="470" ht="16" customHeight="1" x14ac:dyDescent="0.25"/>
    <row r="471" ht="16" customHeight="1" x14ac:dyDescent="0.25"/>
    <row r="472" ht="16" customHeight="1" x14ac:dyDescent="0.25"/>
    <row r="473" ht="16" customHeight="1" x14ac:dyDescent="0.25"/>
    <row r="474" ht="16" customHeight="1" x14ac:dyDescent="0.25"/>
    <row r="475" ht="16" customHeight="1" x14ac:dyDescent="0.25"/>
    <row r="476" ht="16" customHeight="1" x14ac:dyDescent="0.25"/>
    <row r="477" ht="16" customHeight="1" x14ac:dyDescent="0.25"/>
    <row r="478" ht="16" customHeight="1" x14ac:dyDescent="0.25"/>
    <row r="479" ht="16" customHeight="1" x14ac:dyDescent="0.25"/>
    <row r="480" ht="16" customHeight="1" x14ac:dyDescent="0.25"/>
    <row r="481" ht="16" customHeight="1" x14ac:dyDescent="0.25"/>
    <row r="482" ht="16" customHeight="1" x14ac:dyDescent="0.25"/>
    <row r="483" ht="16" customHeight="1" x14ac:dyDescent="0.25"/>
    <row r="484" ht="16" customHeight="1" x14ac:dyDescent="0.25"/>
    <row r="485" ht="16" customHeight="1" x14ac:dyDescent="0.25"/>
    <row r="486" ht="16" customHeight="1" x14ac:dyDescent="0.25"/>
    <row r="487" ht="16" customHeight="1" x14ac:dyDescent="0.25"/>
    <row r="488" ht="16" customHeight="1" x14ac:dyDescent="0.25"/>
    <row r="489" ht="16" customHeight="1" x14ac:dyDescent="0.25"/>
    <row r="490" ht="16" customHeight="1" x14ac:dyDescent="0.25"/>
    <row r="491" ht="16" customHeight="1" x14ac:dyDescent="0.25"/>
    <row r="492" ht="16" customHeight="1" x14ac:dyDescent="0.25"/>
    <row r="493" ht="16" customHeight="1" x14ac:dyDescent="0.25"/>
    <row r="494" ht="16" customHeight="1" x14ac:dyDescent="0.25"/>
    <row r="495" ht="16" customHeight="1" x14ac:dyDescent="0.25"/>
    <row r="496" ht="16" customHeight="1" x14ac:dyDescent="0.25"/>
    <row r="497" ht="16" customHeight="1" x14ac:dyDescent="0.25"/>
    <row r="498" ht="16" customHeight="1" x14ac:dyDescent="0.25"/>
    <row r="499" ht="16" customHeight="1" x14ac:dyDescent="0.25"/>
    <row r="500" ht="16" customHeight="1" x14ac:dyDescent="0.25"/>
    <row r="501" ht="16" customHeight="1" x14ac:dyDescent="0.25"/>
    <row r="502" ht="16" customHeight="1" x14ac:dyDescent="0.25"/>
    <row r="503" ht="16" customHeight="1" x14ac:dyDescent="0.25"/>
    <row r="504" ht="16" customHeight="1" x14ac:dyDescent="0.25"/>
    <row r="505" ht="16" customHeight="1" x14ac:dyDescent="0.25"/>
    <row r="506" ht="16" customHeight="1" x14ac:dyDescent="0.25"/>
    <row r="507" ht="16" customHeight="1" x14ac:dyDescent="0.25"/>
    <row r="508" ht="16" customHeight="1" x14ac:dyDescent="0.25"/>
    <row r="509" ht="16" customHeight="1" x14ac:dyDescent="0.25"/>
    <row r="510" ht="16" customHeight="1" x14ac:dyDescent="0.25"/>
    <row r="511" ht="16" customHeight="1" x14ac:dyDescent="0.25"/>
    <row r="512" ht="16" customHeight="1" x14ac:dyDescent="0.25"/>
    <row r="513" ht="16" customHeight="1" x14ac:dyDescent="0.25"/>
    <row r="514" ht="16" customHeight="1" x14ac:dyDescent="0.25"/>
    <row r="515" ht="16" customHeight="1" x14ac:dyDescent="0.25"/>
    <row r="516" ht="16" customHeight="1" x14ac:dyDescent="0.25"/>
    <row r="517" ht="16" customHeight="1" x14ac:dyDescent="0.25"/>
    <row r="518" ht="16" customHeight="1" x14ac:dyDescent="0.25"/>
    <row r="519" ht="16" customHeight="1" x14ac:dyDescent="0.25"/>
    <row r="520" ht="16" customHeight="1" x14ac:dyDescent="0.25"/>
    <row r="521" ht="16" customHeight="1" x14ac:dyDescent="0.25"/>
    <row r="522" ht="16" customHeight="1" x14ac:dyDescent="0.25"/>
    <row r="523" ht="16" customHeight="1" x14ac:dyDescent="0.25"/>
    <row r="524" ht="16" customHeight="1" x14ac:dyDescent="0.25"/>
    <row r="525" ht="16" customHeight="1" x14ac:dyDescent="0.25"/>
    <row r="526" ht="16" customHeight="1" x14ac:dyDescent="0.25"/>
    <row r="527" ht="16" customHeight="1" x14ac:dyDescent="0.25"/>
    <row r="528" ht="16" customHeight="1" x14ac:dyDescent="0.25"/>
    <row r="529" ht="16" customHeight="1" x14ac:dyDescent="0.25"/>
    <row r="530" ht="16" customHeight="1" x14ac:dyDescent="0.25"/>
    <row r="531" ht="16" customHeight="1" x14ac:dyDescent="0.25"/>
    <row r="532" ht="16" customHeight="1" x14ac:dyDescent="0.25"/>
    <row r="533" ht="16" customHeight="1" x14ac:dyDescent="0.25"/>
    <row r="534" ht="16" customHeight="1" x14ac:dyDescent="0.25"/>
    <row r="535" ht="16" customHeight="1" x14ac:dyDescent="0.25"/>
    <row r="536" ht="16" customHeight="1" x14ac:dyDescent="0.25"/>
    <row r="537" ht="16" customHeight="1" x14ac:dyDescent="0.25"/>
    <row r="538" ht="16" customHeight="1" x14ac:dyDescent="0.25"/>
    <row r="539" ht="16" customHeight="1" x14ac:dyDescent="0.25"/>
    <row r="540" ht="16" customHeight="1" x14ac:dyDescent="0.25"/>
    <row r="541" ht="16" customHeight="1" x14ac:dyDescent="0.25"/>
    <row r="542" ht="16" customHeight="1" x14ac:dyDescent="0.25"/>
    <row r="543" ht="16" customHeight="1" x14ac:dyDescent="0.25"/>
    <row r="544" ht="16" customHeight="1" x14ac:dyDescent="0.25"/>
    <row r="545" ht="16" customHeight="1" x14ac:dyDescent="0.25"/>
    <row r="546" ht="16" customHeight="1" x14ac:dyDescent="0.25"/>
    <row r="547" ht="16" customHeight="1" x14ac:dyDescent="0.25"/>
    <row r="548" ht="16" customHeight="1" x14ac:dyDescent="0.25"/>
    <row r="549" ht="16" customHeight="1" x14ac:dyDescent="0.25"/>
    <row r="550" ht="16" customHeight="1" x14ac:dyDescent="0.25"/>
    <row r="551" ht="16" customHeight="1" x14ac:dyDescent="0.25"/>
    <row r="552" ht="16" customHeight="1" x14ac:dyDescent="0.25"/>
    <row r="553" ht="16" customHeight="1" x14ac:dyDescent="0.25"/>
    <row r="554" ht="16" customHeight="1" x14ac:dyDescent="0.25"/>
    <row r="555" ht="16" customHeight="1" x14ac:dyDescent="0.25"/>
    <row r="556" ht="16" customHeight="1" x14ac:dyDescent="0.25"/>
    <row r="557" ht="16" customHeight="1" x14ac:dyDescent="0.25"/>
    <row r="558" ht="16" customHeight="1" x14ac:dyDescent="0.25"/>
    <row r="559" ht="16" customHeight="1" x14ac:dyDescent="0.25"/>
    <row r="560" ht="16" customHeight="1" x14ac:dyDescent="0.25"/>
    <row r="561" ht="16" customHeight="1" x14ac:dyDescent="0.25"/>
    <row r="562" ht="16" customHeight="1" x14ac:dyDescent="0.25"/>
    <row r="563" ht="16" customHeight="1" x14ac:dyDescent="0.25"/>
    <row r="564" ht="16" customHeight="1" x14ac:dyDescent="0.25"/>
    <row r="565" ht="16" customHeight="1" x14ac:dyDescent="0.25"/>
    <row r="566" ht="16" customHeight="1" x14ac:dyDescent="0.25"/>
    <row r="567" ht="16" customHeight="1" x14ac:dyDescent="0.25"/>
    <row r="568" ht="16" customHeight="1" x14ac:dyDescent="0.25"/>
    <row r="569" ht="16" customHeight="1" x14ac:dyDescent="0.25"/>
    <row r="570" ht="16" customHeight="1" x14ac:dyDescent="0.25"/>
    <row r="571" ht="16" customHeight="1" x14ac:dyDescent="0.25"/>
    <row r="572" ht="16" customHeight="1" x14ac:dyDescent="0.25"/>
    <row r="573" ht="16" customHeight="1" x14ac:dyDescent="0.25"/>
    <row r="574" ht="16" customHeight="1" x14ac:dyDescent="0.25"/>
    <row r="575" ht="16" customHeight="1" x14ac:dyDescent="0.25"/>
    <row r="576" ht="16" customHeight="1" x14ac:dyDescent="0.25"/>
    <row r="577" ht="16" customHeight="1" x14ac:dyDescent="0.25"/>
    <row r="578" ht="16" customHeight="1" x14ac:dyDescent="0.25"/>
    <row r="579" ht="16" customHeight="1" x14ac:dyDescent="0.25"/>
    <row r="580" ht="16" customHeight="1" x14ac:dyDescent="0.25"/>
    <row r="581" ht="16" customHeight="1" x14ac:dyDescent="0.25"/>
    <row r="582" ht="16" customHeight="1" x14ac:dyDescent="0.25"/>
    <row r="583" ht="16" customHeight="1" x14ac:dyDescent="0.25"/>
    <row r="584" ht="16" customHeight="1" x14ac:dyDescent="0.25"/>
    <row r="585" ht="16" customHeight="1" x14ac:dyDescent="0.25"/>
    <row r="586" ht="16" customHeight="1" x14ac:dyDescent="0.25"/>
    <row r="587" ht="16" customHeight="1" x14ac:dyDescent="0.25"/>
    <row r="588" ht="16" customHeight="1" x14ac:dyDescent="0.25"/>
    <row r="589" ht="16" customHeight="1" x14ac:dyDescent="0.25"/>
    <row r="590" ht="16" customHeight="1" x14ac:dyDescent="0.25"/>
    <row r="591" ht="16" customHeight="1" x14ac:dyDescent="0.25"/>
    <row r="592" ht="16" customHeight="1" x14ac:dyDescent="0.25"/>
    <row r="593" ht="16" customHeight="1" x14ac:dyDescent="0.25"/>
    <row r="594" ht="16" customHeight="1" x14ac:dyDescent="0.25"/>
    <row r="595" ht="16" customHeight="1" x14ac:dyDescent="0.25"/>
    <row r="596" ht="16" customHeight="1" x14ac:dyDescent="0.25"/>
    <row r="597" ht="16" customHeight="1" x14ac:dyDescent="0.25"/>
    <row r="598" ht="16" customHeight="1" x14ac:dyDescent="0.25"/>
    <row r="599" ht="16" customHeight="1" x14ac:dyDescent="0.25"/>
    <row r="600" ht="16" customHeight="1" x14ac:dyDescent="0.25"/>
    <row r="601" ht="16" customHeight="1" x14ac:dyDescent="0.25"/>
    <row r="602" ht="16" customHeight="1" x14ac:dyDescent="0.25"/>
    <row r="603" ht="16" customHeight="1" x14ac:dyDescent="0.25"/>
    <row r="604" ht="16" customHeight="1" x14ac:dyDescent="0.25"/>
    <row r="605" ht="16" customHeight="1" x14ac:dyDescent="0.25"/>
    <row r="606" ht="16" customHeight="1" x14ac:dyDescent="0.25"/>
    <row r="607" ht="16" customHeight="1" x14ac:dyDescent="0.25"/>
    <row r="608" ht="16" customHeight="1" x14ac:dyDescent="0.25"/>
    <row r="609" ht="16" customHeight="1" x14ac:dyDescent="0.25"/>
    <row r="610" ht="16" customHeight="1" x14ac:dyDescent="0.25"/>
    <row r="611" ht="16" customHeight="1" x14ac:dyDescent="0.25"/>
    <row r="612" ht="16" customHeight="1" x14ac:dyDescent="0.25"/>
    <row r="613" ht="16" customHeight="1" x14ac:dyDescent="0.25"/>
    <row r="614" ht="16" customHeight="1" x14ac:dyDescent="0.25"/>
    <row r="615" ht="16" customHeight="1" x14ac:dyDescent="0.25"/>
    <row r="616" ht="16" customHeight="1" x14ac:dyDescent="0.25"/>
    <row r="617" ht="16" customHeight="1" x14ac:dyDescent="0.25"/>
    <row r="618" ht="16" customHeight="1" x14ac:dyDescent="0.25"/>
    <row r="619" ht="16" customHeight="1" x14ac:dyDescent="0.25"/>
    <row r="620" ht="16" customHeight="1" x14ac:dyDescent="0.25"/>
    <row r="621" ht="16" customHeight="1" x14ac:dyDescent="0.25"/>
    <row r="622" ht="16" customHeight="1" x14ac:dyDescent="0.25"/>
    <row r="623" ht="16" customHeight="1" x14ac:dyDescent="0.25"/>
    <row r="624" ht="16" customHeight="1" x14ac:dyDescent="0.25"/>
    <row r="625" ht="16" customHeight="1" x14ac:dyDescent="0.25"/>
    <row r="626" ht="16" customHeight="1" x14ac:dyDescent="0.25"/>
    <row r="627" ht="16" customHeight="1" x14ac:dyDescent="0.25"/>
    <row r="628" ht="16" customHeight="1" x14ac:dyDescent="0.25"/>
    <row r="629" ht="16" customHeight="1" x14ac:dyDescent="0.25"/>
    <row r="630" ht="16" customHeight="1" x14ac:dyDescent="0.25"/>
    <row r="631" ht="16" customHeight="1" x14ac:dyDescent="0.25"/>
    <row r="632" ht="16" customHeight="1" x14ac:dyDescent="0.25"/>
    <row r="633" ht="16" customHeight="1" x14ac:dyDescent="0.25"/>
    <row r="634" ht="16" customHeight="1" x14ac:dyDescent="0.25"/>
    <row r="635" ht="16" customHeight="1" x14ac:dyDescent="0.25"/>
    <row r="636" ht="16" customHeight="1" x14ac:dyDescent="0.25"/>
    <row r="637" ht="16" customHeight="1" x14ac:dyDescent="0.25"/>
    <row r="638" ht="16" customHeight="1" x14ac:dyDescent="0.25"/>
    <row r="639" ht="16" customHeight="1" x14ac:dyDescent="0.25"/>
    <row r="640" ht="16" customHeight="1" x14ac:dyDescent="0.25"/>
    <row r="641" ht="16" customHeight="1" x14ac:dyDescent="0.25"/>
    <row r="642" ht="16" customHeight="1" x14ac:dyDescent="0.25"/>
    <row r="643" ht="16" customHeight="1" x14ac:dyDescent="0.25"/>
    <row r="644" ht="16" customHeight="1" x14ac:dyDescent="0.25"/>
    <row r="645" ht="16" customHeight="1" x14ac:dyDescent="0.25"/>
    <row r="646" ht="16" customHeight="1" x14ac:dyDescent="0.25"/>
    <row r="647" ht="16" customHeight="1" x14ac:dyDescent="0.25"/>
    <row r="648" ht="16" customHeight="1" x14ac:dyDescent="0.25"/>
    <row r="649" ht="16" customHeight="1" x14ac:dyDescent="0.25"/>
    <row r="650" ht="16" customHeight="1" x14ac:dyDescent="0.25"/>
    <row r="651" ht="16" customHeight="1" x14ac:dyDescent="0.25"/>
    <row r="652" ht="16" customHeight="1" x14ac:dyDescent="0.25"/>
    <row r="653" ht="16" customHeight="1" x14ac:dyDescent="0.25"/>
    <row r="654" ht="16" customHeight="1" x14ac:dyDescent="0.25"/>
    <row r="655" ht="16" customHeight="1" x14ac:dyDescent="0.25"/>
    <row r="656" ht="16" customHeight="1" x14ac:dyDescent="0.25"/>
    <row r="657" ht="16" customHeight="1" x14ac:dyDescent="0.25"/>
    <row r="658" ht="16" customHeight="1" x14ac:dyDescent="0.25"/>
    <row r="659" ht="16" customHeight="1" x14ac:dyDescent="0.25"/>
    <row r="660" ht="16" customHeight="1" x14ac:dyDescent="0.25"/>
    <row r="661" ht="16" customHeight="1" x14ac:dyDescent="0.25"/>
    <row r="662" ht="16" customHeight="1" x14ac:dyDescent="0.25"/>
    <row r="663" ht="16" customHeight="1" x14ac:dyDescent="0.25"/>
    <row r="664" ht="16" customHeight="1" x14ac:dyDescent="0.25"/>
    <row r="665" ht="16" customHeight="1" x14ac:dyDescent="0.25"/>
    <row r="666" ht="16" customHeight="1" x14ac:dyDescent="0.25"/>
    <row r="667" ht="16" customHeight="1" x14ac:dyDescent="0.25"/>
    <row r="668" ht="16" customHeight="1" x14ac:dyDescent="0.25"/>
    <row r="669" ht="16" customHeight="1" x14ac:dyDescent="0.25"/>
    <row r="670" ht="16" customHeight="1" x14ac:dyDescent="0.25"/>
    <row r="671" ht="16" customHeight="1" x14ac:dyDescent="0.25"/>
    <row r="672" ht="16" customHeight="1" x14ac:dyDescent="0.25"/>
    <row r="673" ht="16" customHeight="1" x14ac:dyDescent="0.25"/>
    <row r="674" ht="16" customHeight="1" x14ac:dyDescent="0.25"/>
    <row r="675" ht="16" customHeight="1" x14ac:dyDescent="0.25"/>
    <row r="676" ht="16" customHeight="1" x14ac:dyDescent="0.25"/>
    <row r="677" ht="16" customHeight="1" x14ac:dyDescent="0.25"/>
    <row r="678" ht="16" customHeight="1" x14ac:dyDescent="0.25"/>
    <row r="679" ht="16" customHeight="1" x14ac:dyDescent="0.25"/>
    <row r="680" ht="16" customHeight="1" x14ac:dyDescent="0.25"/>
    <row r="681" ht="16" customHeight="1" x14ac:dyDescent="0.25"/>
    <row r="682" ht="16" customHeight="1" x14ac:dyDescent="0.25"/>
    <row r="683" ht="16" customHeight="1" x14ac:dyDescent="0.25"/>
    <row r="684" ht="16" customHeight="1" x14ac:dyDescent="0.25"/>
    <row r="685" ht="16" customHeight="1" x14ac:dyDescent="0.25"/>
    <row r="686" ht="16" customHeight="1" x14ac:dyDescent="0.25"/>
    <row r="687" ht="16" customHeight="1" x14ac:dyDescent="0.25"/>
    <row r="688" ht="16" customHeight="1" x14ac:dyDescent="0.25"/>
    <row r="689" ht="16" customHeight="1" x14ac:dyDescent="0.25"/>
    <row r="690" ht="16" customHeight="1" x14ac:dyDescent="0.25"/>
    <row r="691" ht="16" customHeight="1" x14ac:dyDescent="0.25"/>
    <row r="692" ht="16" customHeight="1" x14ac:dyDescent="0.25"/>
    <row r="693" ht="16" customHeight="1" x14ac:dyDescent="0.25"/>
    <row r="694" ht="16" customHeight="1" x14ac:dyDescent="0.25"/>
    <row r="695" ht="16" customHeight="1" x14ac:dyDescent="0.25"/>
    <row r="696" ht="16" customHeight="1" x14ac:dyDescent="0.25"/>
    <row r="697" ht="16" customHeight="1" x14ac:dyDescent="0.25"/>
    <row r="698" ht="16" customHeight="1" x14ac:dyDescent="0.25"/>
    <row r="699" ht="16" customHeight="1" x14ac:dyDescent="0.25"/>
    <row r="700" ht="16" customHeight="1" x14ac:dyDescent="0.25"/>
    <row r="701" ht="16" customHeight="1" x14ac:dyDescent="0.25"/>
    <row r="702" ht="16" customHeight="1" x14ac:dyDescent="0.25"/>
    <row r="703" ht="16" customHeight="1" x14ac:dyDescent="0.25"/>
    <row r="704" ht="16" customHeight="1" x14ac:dyDescent="0.25"/>
    <row r="705" ht="16" customHeight="1" x14ac:dyDescent="0.25"/>
    <row r="706" ht="16" customHeight="1" x14ac:dyDescent="0.25"/>
    <row r="707" ht="16" customHeight="1" x14ac:dyDescent="0.25"/>
    <row r="708" ht="16" customHeight="1" x14ac:dyDescent="0.25"/>
    <row r="709" ht="16" customHeight="1" x14ac:dyDescent="0.25"/>
    <row r="710" ht="16" customHeight="1" x14ac:dyDescent="0.25"/>
    <row r="711" ht="16" customHeight="1" x14ac:dyDescent="0.25"/>
    <row r="712" ht="16" customHeight="1" x14ac:dyDescent="0.25"/>
    <row r="713" ht="16" customHeight="1" x14ac:dyDescent="0.25"/>
    <row r="714" ht="16" customHeight="1" x14ac:dyDescent="0.25"/>
    <row r="715" ht="16" customHeight="1" x14ac:dyDescent="0.25"/>
    <row r="716" ht="16" customHeight="1" x14ac:dyDescent="0.25"/>
    <row r="717" ht="16" customHeight="1" x14ac:dyDescent="0.25"/>
    <row r="718" ht="16" customHeight="1" x14ac:dyDescent="0.25"/>
    <row r="719" ht="16" customHeight="1" x14ac:dyDescent="0.25"/>
    <row r="720" ht="16" customHeight="1" x14ac:dyDescent="0.25"/>
    <row r="721" ht="16" customHeight="1" x14ac:dyDescent="0.25"/>
    <row r="722" ht="16" customHeight="1" x14ac:dyDescent="0.25"/>
    <row r="723" ht="16" customHeight="1" x14ac:dyDescent="0.25"/>
    <row r="724" ht="16" customHeight="1" x14ac:dyDescent="0.25"/>
    <row r="725" ht="16" customHeight="1" x14ac:dyDescent="0.25"/>
    <row r="726" ht="16" customHeight="1" x14ac:dyDescent="0.25"/>
    <row r="727" ht="16" customHeight="1" x14ac:dyDescent="0.25"/>
    <row r="728" ht="16" customHeight="1" x14ac:dyDescent="0.25"/>
    <row r="729" ht="16" customHeight="1" x14ac:dyDescent="0.25"/>
    <row r="730" ht="16" customHeight="1" x14ac:dyDescent="0.25"/>
    <row r="731" ht="16" customHeight="1" x14ac:dyDescent="0.25"/>
    <row r="732" ht="16" customHeight="1" x14ac:dyDescent="0.25"/>
    <row r="733" ht="16" customHeight="1" x14ac:dyDescent="0.25"/>
    <row r="734" ht="16" customHeight="1" x14ac:dyDescent="0.25"/>
    <row r="735" ht="16" customHeight="1" x14ac:dyDescent="0.25"/>
    <row r="736" ht="16" customHeight="1" x14ac:dyDescent="0.25"/>
    <row r="737" ht="16" customHeight="1" x14ac:dyDescent="0.25"/>
    <row r="738" ht="16" customHeight="1" x14ac:dyDescent="0.25"/>
    <row r="739" ht="16" customHeight="1" x14ac:dyDescent="0.25"/>
    <row r="740" ht="16" customHeight="1" x14ac:dyDescent="0.25"/>
    <row r="741" ht="16" customHeight="1" x14ac:dyDescent="0.25"/>
    <row r="742" ht="16" customHeight="1" x14ac:dyDescent="0.25"/>
    <row r="743" ht="16" customHeight="1" x14ac:dyDescent="0.25"/>
    <row r="744" ht="16" customHeight="1" x14ac:dyDescent="0.25"/>
    <row r="745" ht="16" customHeight="1" x14ac:dyDescent="0.25"/>
    <row r="746" ht="16" customHeight="1" x14ac:dyDescent="0.25"/>
    <row r="747" ht="16" customHeight="1" x14ac:dyDescent="0.25"/>
    <row r="748" ht="16" customHeight="1" x14ac:dyDescent="0.25"/>
    <row r="749" ht="16" customHeight="1" x14ac:dyDescent="0.25"/>
    <row r="750" ht="16" customHeight="1" x14ac:dyDescent="0.25"/>
    <row r="751" ht="16" customHeight="1" x14ac:dyDescent="0.25"/>
    <row r="752" ht="16" customHeight="1" x14ac:dyDescent="0.25"/>
    <row r="753" ht="16" customHeight="1" x14ac:dyDescent="0.25"/>
    <row r="754" ht="16" customHeight="1" x14ac:dyDescent="0.25"/>
    <row r="755" ht="16" customHeight="1" x14ac:dyDescent="0.25"/>
    <row r="756" ht="16" customHeight="1" x14ac:dyDescent="0.25"/>
    <row r="757" ht="16" customHeight="1" x14ac:dyDescent="0.25"/>
    <row r="758" ht="16" customHeight="1" x14ac:dyDescent="0.25"/>
    <row r="759" ht="16" customHeight="1" x14ac:dyDescent="0.25"/>
    <row r="760" ht="16" customHeight="1" x14ac:dyDescent="0.25"/>
    <row r="761" ht="16" customHeight="1" x14ac:dyDescent="0.25"/>
    <row r="762" ht="16" customHeight="1" x14ac:dyDescent="0.25"/>
    <row r="763" ht="16" customHeight="1" x14ac:dyDescent="0.25"/>
    <row r="764" ht="16" customHeight="1" x14ac:dyDescent="0.25"/>
    <row r="765" ht="16" customHeight="1" x14ac:dyDescent="0.25"/>
    <row r="766" ht="16" customHeight="1" x14ac:dyDescent="0.25"/>
    <row r="767" ht="16" customHeight="1" x14ac:dyDescent="0.25"/>
    <row r="768" ht="16" customHeight="1" x14ac:dyDescent="0.25"/>
    <row r="769" ht="16" customHeight="1" x14ac:dyDescent="0.25"/>
    <row r="770" ht="16" customHeight="1" x14ac:dyDescent="0.25"/>
    <row r="771" ht="16" customHeight="1" x14ac:dyDescent="0.25"/>
    <row r="772" ht="16" customHeight="1" x14ac:dyDescent="0.25"/>
    <row r="773" ht="16" customHeight="1" x14ac:dyDescent="0.25"/>
    <row r="774" ht="16" customHeight="1" x14ac:dyDescent="0.25"/>
    <row r="775" ht="16" customHeight="1" x14ac:dyDescent="0.25"/>
    <row r="776" ht="16" customHeight="1" x14ac:dyDescent="0.25"/>
    <row r="777" ht="16" customHeight="1" x14ac:dyDescent="0.25"/>
    <row r="778" ht="16" customHeight="1" x14ac:dyDescent="0.25"/>
    <row r="779" ht="16" customHeight="1" x14ac:dyDescent="0.25"/>
    <row r="780" ht="16" customHeight="1" x14ac:dyDescent="0.25"/>
    <row r="781" ht="16" customHeight="1" x14ac:dyDescent="0.25"/>
    <row r="782" ht="16" customHeight="1" x14ac:dyDescent="0.25"/>
    <row r="783" ht="16" customHeight="1" x14ac:dyDescent="0.25"/>
    <row r="784" ht="16" customHeight="1" x14ac:dyDescent="0.25"/>
    <row r="785" ht="16" customHeight="1" x14ac:dyDescent="0.25"/>
    <row r="786" ht="16" customHeight="1" x14ac:dyDescent="0.25"/>
    <row r="787" ht="16" customHeight="1" x14ac:dyDescent="0.25"/>
    <row r="788" ht="16" customHeight="1" x14ac:dyDescent="0.25"/>
    <row r="789" ht="16" customHeight="1" x14ac:dyDescent="0.25"/>
    <row r="790" ht="16" customHeight="1" x14ac:dyDescent="0.25"/>
    <row r="791" ht="16" customHeight="1" x14ac:dyDescent="0.25"/>
    <row r="792" ht="16" customHeight="1" x14ac:dyDescent="0.25"/>
    <row r="793" ht="16" customHeight="1" x14ac:dyDescent="0.25"/>
    <row r="794" ht="16" customHeight="1" x14ac:dyDescent="0.25"/>
    <row r="795" ht="16" customHeight="1" x14ac:dyDescent="0.25"/>
    <row r="796" ht="16" customHeight="1" x14ac:dyDescent="0.25"/>
    <row r="797" ht="16" customHeight="1" x14ac:dyDescent="0.25"/>
    <row r="798" ht="16" customHeight="1" x14ac:dyDescent="0.25"/>
    <row r="799" ht="16" customHeight="1" x14ac:dyDescent="0.25"/>
    <row r="800" ht="16" customHeight="1" x14ac:dyDescent="0.25"/>
    <row r="801" ht="16" customHeight="1" x14ac:dyDescent="0.25"/>
    <row r="802" ht="16" customHeight="1" x14ac:dyDescent="0.25"/>
    <row r="803" ht="16" customHeight="1" x14ac:dyDescent="0.25"/>
    <row r="804" ht="16" customHeight="1" x14ac:dyDescent="0.25"/>
    <row r="805" ht="16" customHeight="1" x14ac:dyDescent="0.25"/>
    <row r="806" ht="16" customHeight="1" x14ac:dyDescent="0.25"/>
    <row r="807" ht="16" customHeight="1" x14ac:dyDescent="0.25"/>
    <row r="808" ht="16" customHeight="1" x14ac:dyDescent="0.25"/>
    <row r="809" ht="16" customHeight="1" x14ac:dyDescent="0.25"/>
    <row r="810" ht="16" customHeight="1" x14ac:dyDescent="0.25"/>
    <row r="811" ht="16" customHeight="1" x14ac:dyDescent="0.25"/>
    <row r="812" ht="16" customHeight="1" x14ac:dyDescent="0.25"/>
    <row r="813" ht="16" customHeight="1" x14ac:dyDescent="0.25"/>
    <row r="814" ht="16" customHeight="1" x14ac:dyDescent="0.25"/>
    <row r="815" ht="16" customHeight="1" x14ac:dyDescent="0.25"/>
    <row r="816" ht="16" customHeight="1" x14ac:dyDescent="0.25"/>
    <row r="817" ht="16" customHeight="1" x14ac:dyDescent="0.25"/>
    <row r="818" ht="16" customHeight="1" x14ac:dyDescent="0.25"/>
    <row r="819" ht="16" customHeight="1" x14ac:dyDescent="0.25"/>
    <row r="820" ht="16" customHeight="1" x14ac:dyDescent="0.25"/>
    <row r="821" ht="16" customHeight="1" x14ac:dyDescent="0.25"/>
    <row r="822" ht="16" customHeight="1" x14ac:dyDescent="0.25"/>
    <row r="823" ht="16" customHeight="1" x14ac:dyDescent="0.25"/>
    <row r="824" ht="16" customHeight="1" x14ac:dyDescent="0.25"/>
    <row r="825" ht="16" customHeight="1" x14ac:dyDescent="0.25"/>
    <row r="826" ht="16" customHeight="1" x14ac:dyDescent="0.25"/>
    <row r="827" ht="16" customHeight="1" x14ac:dyDescent="0.25"/>
    <row r="828" ht="16" customHeight="1" x14ac:dyDescent="0.25"/>
    <row r="829" ht="16" customHeight="1" x14ac:dyDescent="0.25"/>
    <row r="830" ht="16" customHeight="1" x14ac:dyDescent="0.25"/>
    <row r="831" ht="16" customHeight="1" x14ac:dyDescent="0.25"/>
    <row r="832" ht="16" customHeight="1" x14ac:dyDescent="0.25"/>
    <row r="833" ht="16" customHeight="1" x14ac:dyDescent="0.25"/>
    <row r="834" ht="16" customHeight="1" x14ac:dyDescent="0.25"/>
    <row r="835" ht="16" customHeight="1" x14ac:dyDescent="0.25"/>
    <row r="836" ht="16" customHeight="1" x14ac:dyDescent="0.25"/>
    <row r="837" ht="16" customHeight="1" x14ac:dyDescent="0.25"/>
    <row r="838" ht="16" customHeight="1" x14ac:dyDescent="0.25"/>
    <row r="839" ht="16" customHeight="1" x14ac:dyDescent="0.25"/>
    <row r="840" ht="16" customHeight="1" x14ac:dyDescent="0.25"/>
    <row r="841" ht="16" customHeight="1" x14ac:dyDescent="0.25"/>
    <row r="842" ht="16" customHeight="1" x14ac:dyDescent="0.25"/>
    <row r="843" ht="16" customHeight="1" x14ac:dyDescent="0.25"/>
    <row r="844" ht="16" customHeight="1" x14ac:dyDescent="0.25"/>
    <row r="845" ht="16" customHeight="1" x14ac:dyDescent="0.25"/>
    <row r="846" ht="16" customHeight="1" x14ac:dyDescent="0.25"/>
    <row r="847" ht="16" customHeight="1" x14ac:dyDescent="0.25"/>
    <row r="848" ht="16" customHeight="1" x14ac:dyDescent="0.25"/>
    <row r="849" ht="16" customHeight="1" x14ac:dyDescent="0.25"/>
    <row r="850" ht="16" customHeight="1" x14ac:dyDescent="0.25"/>
    <row r="851" ht="16" customHeight="1" x14ac:dyDescent="0.25"/>
    <row r="852" ht="16" customHeight="1" x14ac:dyDescent="0.25"/>
    <row r="853" ht="16" customHeight="1" x14ac:dyDescent="0.25"/>
    <row r="854" ht="16" customHeight="1" x14ac:dyDescent="0.25"/>
    <row r="855" ht="16" customHeight="1" x14ac:dyDescent="0.25"/>
    <row r="856" ht="16" customHeight="1" x14ac:dyDescent="0.25"/>
    <row r="857" ht="16" customHeight="1" x14ac:dyDescent="0.25"/>
    <row r="858" ht="16" customHeight="1" x14ac:dyDescent="0.25"/>
    <row r="859" ht="16" customHeight="1" x14ac:dyDescent="0.25"/>
    <row r="860" ht="16" customHeight="1" x14ac:dyDescent="0.25"/>
    <row r="861" ht="16" customHeight="1" x14ac:dyDescent="0.25"/>
    <row r="862" ht="16" customHeight="1" x14ac:dyDescent="0.25"/>
    <row r="863" ht="16" customHeight="1" x14ac:dyDescent="0.25"/>
    <row r="864" ht="16" customHeight="1" x14ac:dyDescent="0.25"/>
    <row r="865" ht="16" customHeight="1" x14ac:dyDescent="0.25"/>
    <row r="866" ht="16" customHeight="1" x14ac:dyDescent="0.25"/>
    <row r="867" ht="16" customHeight="1" x14ac:dyDescent="0.25"/>
    <row r="868" ht="16" customHeight="1" x14ac:dyDescent="0.25"/>
    <row r="869" ht="16" customHeight="1" x14ac:dyDescent="0.25"/>
    <row r="870" ht="16" customHeight="1" x14ac:dyDescent="0.25"/>
    <row r="871" ht="16" customHeight="1" x14ac:dyDescent="0.25"/>
    <row r="872" ht="16" customHeight="1" x14ac:dyDescent="0.25"/>
    <row r="873" ht="16" customHeight="1" x14ac:dyDescent="0.25"/>
    <row r="874" ht="16" customHeight="1" x14ac:dyDescent="0.25"/>
    <row r="875" ht="16" customHeight="1" x14ac:dyDescent="0.25"/>
    <row r="876" ht="16" customHeight="1" x14ac:dyDescent="0.25"/>
    <row r="877" ht="16" customHeight="1" x14ac:dyDescent="0.25"/>
    <row r="878" ht="16" customHeight="1" x14ac:dyDescent="0.25"/>
    <row r="879" ht="16" customHeight="1" x14ac:dyDescent="0.25"/>
    <row r="880" ht="16" customHeight="1" x14ac:dyDescent="0.25"/>
    <row r="881" ht="16" customHeight="1" x14ac:dyDescent="0.25"/>
    <row r="882" ht="16" customHeight="1" x14ac:dyDescent="0.25"/>
    <row r="883" ht="16" customHeight="1" x14ac:dyDescent="0.25"/>
    <row r="884" ht="16" customHeight="1" x14ac:dyDescent="0.25"/>
    <row r="885" ht="16" customHeight="1" x14ac:dyDescent="0.25"/>
    <row r="886" ht="16" customHeight="1" x14ac:dyDescent="0.25"/>
    <row r="887" ht="16" customHeight="1" x14ac:dyDescent="0.25"/>
    <row r="888" ht="16" customHeight="1" x14ac:dyDescent="0.25"/>
    <row r="889" ht="16" customHeight="1" x14ac:dyDescent="0.25"/>
    <row r="890" ht="16" customHeight="1" x14ac:dyDescent="0.25"/>
    <row r="891" ht="16" customHeight="1" x14ac:dyDescent="0.25"/>
    <row r="892" ht="16" customHeight="1" x14ac:dyDescent="0.25"/>
    <row r="893" ht="16" customHeight="1" x14ac:dyDescent="0.25"/>
    <row r="894" ht="16" customHeight="1" x14ac:dyDescent="0.25"/>
    <row r="895" ht="16" customHeight="1" x14ac:dyDescent="0.25"/>
    <row r="896" ht="16" customHeight="1" x14ac:dyDescent="0.25"/>
    <row r="897" ht="16" customHeight="1" x14ac:dyDescent="0.25"/>
    <row r="898" ht="16" customHeight="1" x14ac:dyDescent="0.25"/>
    <row r="899" ht="16" customHeight="1" x14ac:dyDescent="0.25"/>
    <row r="900" ht="16" customHeight="1" x14ac:dyDescent="0.25"/>
    <row r="901" ht="16" customHeight="1" x14ac:dyDescent="0.25"/>
    <row r="902" ht="16" customHeight="1" x14ac:dyDescent="0.25"/>
    <row r="903" ht="16" customHeight="1" x14ac:dyDescent="0.25"/>
    <row r="904" ht="16" customHeight="1" x14ac:dyDescent="0.25"/>
    <row r="905" ht="16" customHeight="1" x14ac:dyDescent="0.25"/>
    <row r="906" ht="16" customHeight="1" x14ac:dyDescent="0.25"/>
    <row r="907" ht="16" customHeight="1" x14ac:dyDescent="0.25"/>
    <row r="908" ht="16" customHeight="1" x14ac:dyDescent="0.25"/>
    <row r="909" ht="16" customHeight="1" x14ac:dyDescent="0.25"/>
    <row r="910" ht="16" customHeight="1" x14ac:dyDescent="0.25"/>
    <row r="911" ht="16" customHeight="1" x14ac:dyDescent="0.25"/>
    <row r="912" ht="16" customHeight="1" x14ac:dyDescent="0.25"/>
    <row r="913" ht="16" customHeight="1" x14ac:dyDescent="0.25"/>
    <row r="914" ht="16" customHeight="1" x14ac:dyDescent="0.25"/>
    <row r="915" ht="16" customHeight="1" x14ac:dyDescent="0.25"/>
    <row r="916" ht="16" customHeight="1" x14ac:dyDescent="0.25"/>
    <row r="917" ht="16" customHeight="1" x14ac:dyDescent="0.25"/>
    <row r="918" ht="16" customHeight="1" x14ac:dyDescent="0.25"/>
    <row r="919" ht="16" customHeight="1" x14ac:dyDescent="0.25"/>
    <row r="920" ht="16" customHeight="1" x14ac:dyDescent="0.25"/>
    <row r="921" ht="16" customHeight="1" x14ac:dyDescent="0.25"/>
    <row r="922" ht="16" customHeight="1" x14ac:dyDescent="0.25"/>
    <row r="923" ht="16" customHeight="1" x14ac:dyDescent="0.25"/>
    <row r="924" ht="16" customHeight="1" x14ac:dyDescent="0.25"/>
    <row r="925" ht="16" customHeight="1" x14ac:dyDescent="0.25"/>
    <row r="926" ht="16" customHeight="1" x14ac:dyDescent="0.25"/>
    <row r="927" ht="16" customHeight="1" x14ac:dyDescent="0.25"/>
    <row r="928" ht="16" customHeight="1" x14ac:dyDescent="0.25"/>
    <row r="929" ht="16" customHeight="1" x14ac:dyDescent="0.25"/>
    <row r="930" ht="16" customHeight="1" x14ac:dyDescent="0.25"/>
    <row r="931" ht="16" customHeight="1" x14ac:dyDescent="0.25"/>
    <row r="932" ht="16" customHeight="1" x14ac:dyDescent="0.25"/>
    <row r="933" ht="16" customHeight="1" x14ac:dyDescent="0.25"/>
    <row r="934" ht="16" customHeight="1" x14ac:dyDescent="0.25"/>
    <row r="935" ht="16" customHeight="1" x14ac:dyDescent="0.25"/>
    <row r="936" ht="16" customHeight="1" x14ac:dyDescent="0.25"/>
    <row r="937" ht="16" customHeight="1" x14ac:dyDescent="0.25"/>
    <row r="938" ht="16" customHeight="1" x14ac:dyDescent="0.25"/>
    <row r="939" ht="16" customHeight="1" x14ac:dyDescent="0.25"/>
    <row r="940" ht="16" customHeight="1" x14ac:dyDescent="0.25"/>
    <row r="941" ht="16" customHeight="1" x14ac:dyDescent="0.25"/>
    <row r="942" ht="16" customHeight="1" x14ac:dyDescent="0.25"/>
    <row r="943" ht="16" customHeight="1" x14ac:dyDescent="0.25"/>
    <row r="944" ht="16" customHeight="1" x14ac:dyDescent="0.25"/>
    <row r="945" ht="16" customHeight="1" x14ac:dyDescent="0.25"/>
    <row r="946" ht="16" customHeight="1" x14ac:dyDescent="0.25"/>
    <row r="947" ht="16" customHeight="1" x14ac:dyDescent="0.25"/>
    <row r="948" ht="16" customHeight="1" x14ac:dyDescent="0.25"/>
    <row r="949" ht="16" customHeight="1" x14ac:dyDescent="0.25"/>
    <row r="950" ht="16" customHeight="1" x14ac:dyDescent="0.25"/>
    <row r="951" ht="16" customHeight="1" x14ac:dyDescent="0.25"/>
    <row r="952" ht="16" customHeight="1" x14ac:dyDescent="0.25"/>
    <row r="953" ht="16" customHeight="1" x14ac:dyDescent="0.25"/>
    <row r="954" ht="16" customHeight="1" x14ac:dyDescent="0.25"/>
    <row r="955" ht="16" customHeight="1" x14ac:dyDescent="0.25"/>
    <row r="956" ht="16" customHeight="1" x14ac:dyDescent="0.25"/>
    <row r="957" ht="16" customHeight="1" x14ac:dyDescent="0.25"/>
    <row r="958" ht="16" customHeight="1" x14ac:dyDescent="0.25"/>
    <row r="959" ht="16" customHeight="1" x14ac:dyDescent="0.25"/>
    <row r="960" ht="16" customHeight="1" x14ac:dyDescent="0.25"/>
    <row r="961" ht="16" customHeight="1" x14ac:dyDescent="0.25"/>
    <row r="962" ht="16" customHeight="1" x14ac:dyDescent="0.25"/>
    <row r="963" ht="16" customHeight="1" x14ac:dyDescent="0.25"/>
    <row r="964" ht="16" customHeight="1" x14ac:dyDescent="0.25"/>
    <row r="965" ht="16" customHeight="1" x14ac:dyDescent="0.25"/>
    <row r="966" ht="16" customHeight="1" x14ac:dyDescent="0.25"/>
    <row r="967" ht="16" customHeight="1" x14ac:dyDescent="0.25"/>
    <row r="968" ht="16" customHeight="1" x14ac:dyDescent="0.25"/>
    <row r="969" ht="16" customHeight="1" x14ac:dyDescent="0.25"/>
    <row r="970" ht="16" customHeight="1" x14ac:dyDescent="0.25"/>
    <row r="971" ht="16" customHeight="1" x14ac:dyDescent="0.25"/>
    <row r="972" ht="16" customHeight="1" x14ac:dyDescent="0.25"/>
    <row r="973" ht="16" customHeight="1" x14ac:dyDescent="0.25"/>
    <row r="974" ht="16" customHeight="1" x14ac:dyDescent="0.25"/>
    <row r="975" ht="16" customHeight="1" x14ac:dyDescent="0.25"/>
    <row r="976" ht="16" customHeight="1" x14ac:dyDescent="0.25"/>
    <row r="977" ht="16" customHeight="1" x14ac:dyDescent="0.25"/>
    <row r="978" ht="16" customHeight="1" x14ac:dyDescent="0.25"/>
    <row r="979" ht="16" customHeight="1" x14ac:dyDescent="0.25"/>
    <row r="980" ht="16" customHeight="1" x14ac:dyDescent="0.25"/>
    <row r="981" ht="16" customHeight="1" x14ac:dyDescent="0.25"/>
    <row r="982" ht="16" customHeight="1" x14ac:dyDescent="0.25"/>
    <row r="983" ht="16" customHeight="1" x14ac:dyDescent="0.25"/>
    <row r="984" ht="16" customHeight="1" x14ac:dyDescent="0.25"/>
    <row r="985" ht="16" customHeight="1" x14ac:dyDescent="0.25"/>
    <row r="986" ht="16" customHeight="1" x14ac:dyDescent="0.25"/>
    <row r="987" ht="16" customHeight="1" x14ac:dyDescent="0.25"/>
    <row r="988" ht="16" customHeight="1" x14ac:dyDescent="0.25"/>
    <row r="989" ht="16" customHeight="1" x14ac:dyDescent="0.25"/>
    <row r="990" ht="16" customHeight="1" x14ac:dyDescent="0.25"/>
    <row r="991" ht="16" customHeight="1" x14ac:dyDescent="0.25"/>
    <row r="992" ht="16" customHeight="1" x14ac:dyDescent="0.25"/>
    <row r="993" ht="16" customHeight="1" x14ac:dyDescent="0.25"/>
    <row r="994" ht="16" customHeight="1" x14ac:dyDescent="0.25"/>
    <row r="995" ht="16" customHeight="1" x14ac:dyDescent="0.25"/>
    <row r="996" ht="16" customHeight="1" x14ac:dyDescent="0.25"/>
    <row r="997" ht="16" customHeight="1" x14ac:dyDescent="0.25"/>
    <row r="998" ht="16" customHeight="1" x14ac:dyDescent="0.25"/>
    <row r="999" ht="16" customHeight="1" x14ac:dyDescent="0.25"/>
    <row r="1000" ht="16" customHeight="1" x14ac:dyDescent="0.25"/>
    <row r="1001" ht="16" customHeight="1" x14ac:dyDescent="0.25"/>
    <row r="1002" ht="16" customHeight="1" x14ac:dyDescent="0.25"/>
    <row r="1003" ht="16" customHeight="1" x14ac:dyDescent="0.25"/>
    <row r="1004" ht="16" customHeight="1" x14ac:dyDescent="0.25"/>
    <row r="1005" ht="16" customHeight="1" x14ac:dyDescent="0.25"/>
    <row r="1006" ht="16" customHeight="1" x14ac:dyDescent="0.25"/>
    <row r="1007" ht="16" customHeight="1" x14ac:dyDescent="0.25"/>
    <row r="1008" ht="16" customHeight="1" x14ac:dyDescent="0.25"/>
    <row r="1009" ht="16" customHeight="1" x14ac:dyDescent="0.25"/>
    <row r="1010" ht="16" customHeight="1" x14ac:dyDescent="0.25"/>
    <row r="1011" ht="16" customHeight="1" x14ac:dyDescent="0.25"/>
    <row r="1012" ht="16" customHeight="1" x14ac:dyDescent="0.25"/>
    <row r="1013" ht="16" customHeight="1" x14ac:dyDescent="0.25"/>
    <row r="1014" ht="16" customHeight="1" x14ac:dyDescent="0.25"/>
    <row r="1015" ht="16" customHeight="1" x14ac:dyDescent="0.25"/>
    <row r="1016" ht="16" customHeight="1" x14ac:dyDescent="0.25"/>
    <row r="1017" ht="16" customHeight="1" x14ac:dyDescent="0.25"/>
    <row r="1018" ht="16" customHeight="1" x14ac:dyDescent="0.25"/>
    <row r="1019" ht="16" customHeight="1" x14ac:dyDescent="0.25"/>
    <row r="1020" ht="16" customHeight="1" x14ac:dyDescent="0.25"/>
    <row r="1021" ht="16" customHeight="1" x14ac:dyDescent="0.25"/>
    <row r="1022" ht="16" customHeight="1" x14ac:dyDescent="0.25"/>
    <row r="1023" ht="16" customHeight="1" x14ac:dyDescent="0.25"/>
    <row r="1024" ht="16" customHeight="1" x14ac:dyDescent="0.25"/>
    <row r="1025" ht="16" customHeight="1" x14ac:dyDescent="0.25"/>
    <row r="1026" ht="16" customHeight="1" x14ac:dyDescent="0.25"/>
    <row r="1027" ht="16" customHeight="1" x14ac:dyDescent="0.25"/>
    <row r="1028" ht="16" customHeight="1" x14ac:dyDescent="0.25"/>
    <row r="1029" ht="16" customHeight="1" x14ac:dyDescent="0.25"/>
    <row r="1030" ht="16" customHeight="1" x14ac:dyDescent="0.25"/>
    <row r="1031" ht="16" customHeight="1" x14ac:dyDescent="0.25"/>
    <row r="1032" ht="16" customHeight="1" x14ac:dyDescent="0.25"/>
    <row r="1033" ht="16" customHeight="1" x14ac:dyDescent="0.25"/>
    <row r="1034" ht="16" customHeight="1" x14ac:dyDescent="0.25"/>
    <row r="1035" ht="16" customHeight="1" x14ac:dyDescent="0.25"/>
    <row r="1036" ht="16" customHeight="1" x14ac:dyDescent="0.25"/>
    <row r="1037" ht="16" customHeight="1" x14ac:dyDescent="0.25"/>
    <row r="1038" ht="16" customHeight="1" x14ac:dyDescent="0.25"/>
    <row r="1039" ht="16" customHeight="1" x14ac:dyDescent="0.25"/>
    <row r="1040" ht="16" customHeight="1" x14ac:dyDescent="0.25"/>
    <row r="1041" ht="16" customHeight="1" x14ac:dyDescent="0.25"/>
    <row r="1042" ht="16" customHeight="1" x14ac:dyDescent="0.25"/>
    <row r="1043" ht="16" customHeight="1" x14ac:dyDescent="0.25"/>
    <row r="1044" ht="16" customHeight="1" x14ac:dyDescent="0.25"/>
    <row r="1045" ht="16" customHeight="1" x14ac:dyDescent="0.25"/>
    <row r="1046" ht="16" customHeight="1" x14ac:dyDescent="0.25"/>
    <row r="1047" ht="16" customHeight="1" x14ac:dyDescent="0.25"/>
    <row r="1048" ht="16" customHeight="1" x14ac:dyDescent="0.25"/>
    <row r="1049" ht="16" customHeight="1" x14ac:dyDescent="0.25"/>
    <row r="1050" ht="16" customHeight="1" x14ac:dyDescent="0.25"/>
    <row r="1051" ht="16" customHeight="1" x14ac:dyDescent="0.25"/>
    <row r="1052" ht="16" customHeight="1" x14ac:dyDescent="0.25"/>
    <row r="1053" ht="16" customHeight="1" x14ac:dyDescent="0.25"/>
    <row r="1054" ht="16" customHeight="1" x14ac:dyDescent="0.25"/>
    <row r="1055" ht="16" customHeight="1" x14ac:dyDescent="0.25"/>
    <row r="1056" ht="16" customHeight="1" x14ac:dyDescent="0.25"/>
    <row r="1057" ht="16" customHeight="1" x14ac:dyDescent="0.25"/>
    <row r="1058" ht="16" customHeight="1" x14ac:dyDescent="0.25"/>
    <row r="1059" ht="16" customHeight="1" x14ac:dyDescent="0.25"/>
    <row r="1060" ht="16" customHeight="1" x14ac:dyDescent="0.25"/>
    <row r="1061" ht="16" customHeight="1" x14ac:dyDescent="0.25"/>
    <row r="1062" ht="16" customHeight="1" x14ac:dyDescent="0.25"/>
    <row r="1063" ht="16" customHeight="1" x14ac:dyDescent="0.25"/>
    <row r="1064" ht="16" customHeight="1" x14ac:dyDescent="0.25"/>
    <row r="1065" ht="16" customHeight="1" x14ac:dyDescent="0.25"/>
    <row r="1066" ht="16" customHeight="1" x14ac:dyDescent="0.25"/>
    <row r="1067" ht="16" customHeight="1" x14ac:dyDescent="0.25"/>
    <row r="1068" ht="16" customHeight="1" x14ac:dyDescent="0.25"/>
    <row r="1069" ht="16" customHeight="1" x14ac:dyDescent="0.25"/>
    <row r="1070" ht="16" customHeight="1" x14ac:dyDescent="0.25"/>
    <row r="1071" ht="16" customHeight="1" x14ac:dyDescent="0.25"/>
    <row r="1072" ht="16" customHeight="1" x14ac:dyDescent="0.25"/>
    <row r="1073" ht="16" customHeight="1" x14ac:dyDescent="0.25"/>
    <row r="1074" ht="16" customHeight="1" x14ac:dyDescent="0.25"/>
    <row r="1075" ht="16" customHeight="1" x14ac:dyDescent="0.25"/>
    <row r="1076" ht="16" customHeight="1" x14ac:dyDescent="0.25"/>
    <row r="1077" ht="16" customHeight="1" x14ac:dyDescent="0.25"/>
    <row r="1078" ht="16" customHeight="1" x14ac:dyDescent="0.25"/>
    <row r="1079" ht="16" customHeight="1" x14ac:dyDescent="0.25"/>
    <row r="1080" ht="16" customHeight="1" x14ac:dyDescent="0.25"/>
    <row r="1081" ht="16" customHeight="1" x14ac:dyDescent="0.25"/>
    <row r="1082" ht="16" customHeight="1" x14ac:dyDescent="0.25"/>
    <row r="1083" ht="16" customHeight="1" x14ac:dyDescent="0.25"/>
    <row r="1084" ht="16" customHeight="1" x14ac:dyDescent="0.25"/>
    <row r="1085" ht="16" customHeight="1" x14ac:dyDescent="0.25"/>
    <row r="1086" ht="16" customHeight="1" x14ac:dyDescent="0.25"/>
    <row r="1087" ht="16" customHeight="1" x14ac:dyDescent="0.25"/>
    <row r="1088" ht="16" customHeight="1" x14ac:dyDescent="0.25"/>
    <row r="1089" ht="16" customHeight="1" x14ac:dyDescent="0.25"/>
    <row r="1090" ht="16" customHeight="1" x14ac:dyDescent="0.25"/>
    <row r="1091" ht="16" customHeight="1" x14ac:dyDescent="0.25"/>
    <row r="1092" ht="16" customHeight="1" x14ac:dyDescent="0.25"/>
    <row r="1093" ht="16" customHeight="1" x14ac:dyDescent="0.25"/>
    <row r="1094" ht="16" customHeight="1" x14ac:dyDescent="0.25"/>
    <row r="1095" ht="16" customHeight="1" x14ac:dyDescent="0.25"/>
    <row r="1096" ht="16" customHeight="1" x14ac:dyDescent="0.25"/>
    <row r="1097" ht="16" customHeight="1" x14ac:dyDescent="0.25"/>
    <row r="1098" ht="16" customHeight="1" x14ac:dyDescent="0.25"/>
    <row r="1099" ht="16" customHeight="1" x14ac:dyDescent="0.25"/>
    <row r="1100" ht="16" customHeight="1" x14ac:dyDescent="0.25"/>
    <row r="1101" ht="16" customHeight="1" x14ac:dyDescent="0.25"/>
    <row r="1102" ht="16" customHeight="1" x14ac:dyDescent="0.25"/>
    <row r="1103" ht="16" customHeight="1" x14ac:dyDescent="0.25"/>
    <row r="1104" ht="16" customHeight="1" x14ac:dyDescent="0.25"/>
    <row r="1105" ht="16" customHeight="1" x14ac:dyDescent="0.25"/>
    <row r="1106" ht="16" customHeight="1" x14ac:dyDescent="0.25"/>
    <row r="1107" ht="16" customHeight="1" x14ac:dyDescent="0.25"/>
    <row r="1108" ht="16" customHeight="1" x14ac:dyDescent="0.25"/>
    <row r="1109" ht="16" customHeight="1" x14ac:dyDescent="0.25"/>
    <row r="1110" ht="16" customHeight="1" x14ac:dyDescent="0.25"/>
    <row r="1111" ht="16" customHeight="1" x14ac:dyDescent="0.25"/>
    <row r="1112" ht="16" customHeight="1" x14ac:dyDescent="0.25"/>
    <row r="1113" ht="16" customHeight="1" x14ac:dyDescent="0.25"/>
    <row r="1114" ht="16" customHeight="1" x14ac:dyDescent="0.25"/>
    <row r="1115" ht="16" customHeight="1" x14ac:dyDescent="0.25"/>
    <row r="1116" ht="16" customHeight="1" x14ac:dyDescent="0.25"/>
    <row r="1117" ht="16" customHeight="1" x14ac:dyDescent="0.25"/>
    <row r="1118" ht="16" customHeight="1" x14ac:dyDescent="0.25"/>
    <row r="1119" ht="16" customHeight="1" x14ac:dyDescent="0.25"/>
    <row r="1120" ht="16" customHeight="1" x14ac:dyDescent="0.25"/>
    <row r="1121" ht="16" customHeight="1" x14ac:dyDescent="0.25"/>
    <row r="1122" ht="16" customHeight="1" x14ac:dyDescent="0.25"/>
    <row r="1123" ht="16" customHeight="1" x14ac:dyDescent="0.25"/>
    <row r="1124" ht="16" customHeight="1" x14ac:dyDescent="0.25"/>
    <row r="1125" ht="16" customHeight="1" x14ac:dyDescent="0.25"/>
    <row r="1126" ht="16" customHeight="1" x14ac:dyDescent="0.25"/>
    <row r="1127" ht="16" customHeight="1" x14ac:dyDescent="0.25"/>
    <row r="1128" ht="16" customHeight="1" x14ac:dyDescent="0.25"/>
    <row r="1129" ht="16" customHeight="1" x14ac:dyDescent="0.25"/>
    <row r="1130" ht="16" customHeight="1" x14ac:dyDescent="0.25"/>
    <row r="1131" ht="16" customHeight="1" x14ac:dyDescent="0.25"/>
    <row r="1132" ht="16" customHeight="1" x14ac:dyDescent="0.25"/>
    <row r="1133" ht="16" customHeight="1" x14ac:dyDescent="0.25"/>
    <row r="1134" ht="16" customHeight="1" x14ac:dyDescent="0.25"/>
    <row r="1135" ht="16" customHeight="1" x14ac:dyDescent="0.25"/>
    <row r="1136" ht="16" customHeight="1" x14ac:dyDescent="0.25"/>
    <row r="1137" ht="16" customHeight="1" x14ac:dyDescent="0.25"/>
    <row r="1138" ht="16" customHeight="1" x14ac:dyDescent="0.25"/>
    <row r="1139" ht="16" customHeight="1" x14ac:dyDescent="0.25"/>
    <row r="1140" ht="16" customHeight="1" x14ac:dyDescent="0.25"/>
    <row r="1141" ht="16" customHeight="1" x14ac:dyDescent="0.25"/>
    <row r="1142" ht="16" customHeight="1" x14ac:dyDescent="0.25"/>
    <row r="1143" ht="16" customHeight="1" x14ac:dyDescent="0.25"/>
    <row r="1144" ht="16" customHeight="1" x14ac:dyDescent="0.25"/>
    <row r="1145" ht="16" customHeight="1" x14ac:dyDescent="0.25"/>
    <row r="1146" ht="16" customHeight="1" x14ac:dyDescent="0.25"/>
    <row r="1147" ht="16" customHeight="1" x14ac:dyDescent="0.25"/>
    <row r="1148" ht="16" customHeight="1" x14ac:dyDescent="0.25"/>
    <row r="1149" ht="16" customHeight="1" x14ac:dyDescent="0.25"/>
    <row r="1150" ht="16" customHeight="1" x14ac:dyDescent="0.25"/>
    <row r="1151" ht="16" customHeight="1" x14ac:dyDescent="0.25"/>
    <row r="1152" ht="16" customHeight="1" x14ac:dyDescent="0.25"/>
    <row r="1153" ht="16" customHeight="1" x14ac:dyDescent="0.25"/>
    <row r="1154" ht="16" customHeight="1" x14ac:dyDescent="0.25"/>
    <row r="1155" ht="16" customHeight="1" x14ac:dyDescent="0.25"/>
    <row r="1156" ht="16" customHeight="1" x14ac:dyDescent="0.25"/>
    <row r="1157" ht="16" customHeight="1" x14ac:dyDescent="0.25"/>
    <row r="1158" ht="16" customHeight="1" x14ac:dyDescent="0.25"/>
    <row r="1159" ht="16" customHeight="1" x14ac:dyDescent="0.25"/>
    <row r="1160" ht="16" customHeight="1" x14ac:dyDescent="0.25"/>
    <row r="1161" ht="16" customHeight="1" x14ac:dyDescent="0.25"/>
    <row r="1162" ht="16" customHeight="1" x14ac:dyDescent="0.25"/>
    <row r="1163" ht="16" customHeight="1" x14ac:dyDescent="0.25"/>
    <row r="1164" ht="16" customHeight="1" x14ac:dyDescent="0.25"/>
    <row r="1165" ht="16" customHeight="1" x14ac:dyDescent="0.25"/>
    <row r="1166" ht="16" customHeight="1" x14ac:dyDescent="0.25"/>
    <row r="1167" ht="16" customHeight="1" x14ac:dyDescent="0.25"/>
    <row r="1168" ht="16" customHeight="1" x14ac:dyDescent="0.25"/>
    <row r="1169" ht="16" customHeight="1" x14ac:dyDescent="0.25"/>
    <row r="1170" ht="16" customHeight="1" x14ac:dyDescent="0.25"/>
    <row r="1171" ht="16" customHeight="1" x14ac:dyDescent="0.25"/>
    <row r="1172" ht="16" customHeight="1" x14ac:dyDescent="0.25"/>
    <row r="1173" ht="16" customHeight="1" x14ac:dyDescent="0.25"/>
    <row r="1174" ht="16" customHeight="1" x14ac:dyDescent="0.25"/>
    <row r="1175" ht="16" customHeight="1" x14ac:dyDescent="0.25"/>
    <row r="1176" ht="16" customHeight="1" x14ac:dyDescent="0.25"/>
    <row r="1177" ht="16" customHeight="1" x14ac:dyDescent="0.25"/>
    <row r="1178" ht="16" customHeight="1" x14ac:dyDescent="0.25"/>
    <row r="1179" ht="16" customHeight="1" x14ac:dyDescent="0.25"/>
    <row r="1180" ht="16" customHeight="1" x14ac:dyDescent="0.25"/>
    <row r="1181" ht="16" customHeight="1" x14ac:dyDescent="0.25"/>
    <row r="1182" ht="16" customHeight="1" x14ac:dyDescent="0.25"/>
    <row r="1183" ht="16" customHeight="1" x14ac:dyDescent="0.25"/>
    <row r="1184" ht="16" customHeight="1" x14ac:dyDescent="0.25"/>
    <row r="1185" ht="16" customHeight="1" x14ac:dyDescent="0.25"/>
    <row r="1186" ht="16" customHeight="1" x14ac:dyDescent="0.25"/>
    <row r="1187" ht="16" customHeight="1" x14ac:dyDescent="0.25"/>
    <row r="1188" ht="16" customHeight="1" x14ac:dyDescent="0.25"/>
    <row r="1189" ht="16" customHeight="1" x14ac:dyDescent="0.25"/>
    <row r="1190" ht="16" customHeight="1" x14ac:dyDescent="0.25"/>
    <row r="1191" ht="16" customHeight="1" x14ac:dyDescent="0.25"/>
    <row r="1192" ht="16" customHeight="1" x14ac:dyDescent="0.25"/>
    <row r="1193" ht="16" customHeight="1" x14ac:dyDescent="0.25"/>
    <row r="1194" ht="16" customHeight="1" x14ac:dyDescent="0.25"/>
    <row r="1195" ht="16" customHeight="1" x14ac:dyDescent="0.25"/>
    <row r="1196" ht="16" customHeight="1" x14ac:dyDescent="0.25"/>
    <row r="1197" ht="16" customHeight="1" x14ac:dyDescent="0.25"/>
    <row r="1198" ht="16" customHeight="1" x14ac:dyDescent="0.25"/>
    <row r="1199" ht="16" customHeight="1" x14ac:dyDescent="0.25"/>
    <row r="1200" ht="16" customHeight="1" x14ac:dyDescent="0.25"/>
    <row r="1201" ht="16" customHeight="1" x14ac:dyDescent="0.25"/>
    <row r="1202" ht="16" customHeight="1" x14ac:dyDescent="0.25"/>
    <row r="1203" ht="16" customHeight="1" x14ac:dyDescent="0.25"/>
    <row r="1204" ht="16" customHeight="1" x14ac:dyDescent="0.25"/>
    <row r="1205" ht="16" customHeight="1" x14ac:dyDescent="0.25"/>
    <row r="1206" ht="16" customHeight="1" x14ac:dyDescent="0.25"/>
    <row r="1207" ht="16" customHeight="1" x14ac:dyDescent="0.25"/>
    <row r="1208" ht="16" customHeight="1" x14ac:dyDescent="0.25"/>
    <row r="1209" ht="16" customHeight="1" x14ac:dyDescent="0.25"/>
    <row r="1210" ht="16" customHeight="1" x14ac:dyDescent="0.25"/>
    <row r="1211" ht="16" customHeight="1" x14ac:dyDescent="0.25"/>
    <row r="1212" ht="16" customHeight="1" x14ac:dyDescent="0.25"/>
    <row r="1213" ht="16" customHeight="1" x14ac:dyDescent="0.25"/>
    <row r="1214" ht="16" customHeight="1" x14ac:dyDescent="0.25"/>
    <row r="1215" ht="16" customHeight="1" x14ac:dyDescent="0.25"/>
    <row r="1216" ht="16" customHeight="1" x14ac:dyDescent="0.25"/>
    <row r="1217" ht="16" customHeight="1" x14ac:dyDescent="0.25"/>
    <row r="1218" ht="16" customHeight="1" x14ac:dyDescent="0.25"/>
    <row r="1219" ht="16" customHeight="1" x14ac:dyDescent="0.25"/>
    <row r="1220" ht="16" customHeight="1" x14ac:dyDescent="0.25"/>
    <row r="1221" ht="16" customHeight="1" x14ac:dyDescent="0.25"/>
    <row r="1222" ht="16" customHeight="1" x14ac:dyDescent="0.25"/>
    <row r="1223" ht="16" customHeight="1" x14ac:dyDescent="0.25"/>
    <row r="1224" ht="16" customHeight="1" x14ac:dyDescent="0.25"/>
    <row r="1225" ht="16" customHeight="1" x14ac:dyDescent="0.25"/>
    <row r="1226" ht="16" customHeight="1" x14ac:dyDescent="0.25"/>
    <row r="1227" ht="16" customHeight="1" x14ac:dyDescent="0.25"/>
    <row r="1228" ht="16" customHeight="1" x14ac:dyDescent="0.25"/>
    <row r="1229" ht="16" customHeight="1" x14ac:dyDescent="0.25"/>
    <row r="1230" ht="16" customHeight="1" x14ac:dyDescent="0.25"/>
    <row r="1231" ht="16" customHeight="1" x14ac:dyDescent="0.25"/>
    <row r="1232" ht="16" customHeight="1" x14ac:dyDescent="0.25"/>
    <row r="1233" ht="16" customHeight="1" x14ac:dyDescent="0.25"/>
    <row r="1234" ht="16" customHeight="1" x14ac:dyDescent="0.25"/>
    <row r="1235" ht="16" customHeight="1" x14ac:dyDescent="0.25"/>
    <row r="1236" ht="16" customHeight="1" x14ac:dyDescent="0.25"/>
    <row r="1237" ht="16" customHeight="1" x14ac:dyDescent="0.25"/>
    <row r="1238" ht="16" customHeight="1" x14ac:dyDescent="0.25"/>
    <row r="1239" ht="16" customHeight="1" x14ac:dyDescent="0.25"/>
    <row r="1240" ht="16" customHeight="1" x14ac:dyDescent="0.25"/>
    <row r="1241" ht="16" customHeight="1" x14ac:dyDescent="0.25"/>
    <row r="1242" ht="16" customHeight="1" x14ac:dyDescent="0.25"/>
    <row r="1243" ht="16" customHeight="1" x14ac:dyDescent="0.25"/>
    <row r="1244" ht="16" customHeight="1" x14ac:dyDescent="0.25"/>
    <row r="1245" ht="16" customHeight="1" x14ac:dyDescent="0.25"/>
    <row r="1246" ht="16" customHeight="1" x14ac:dyDescent="0.25"/>
    <row r="1247" ht="16" customHeight="1" x14ac:dyDescent="0.25"/>
    <row r="1248" ht="16" customHeight="1" x14ac:dyDescent="0.25"/>
    <row r="1249" ht="16" customHeight="1" x14ac:dyDescent="0.25"/>
    <row r="1250" ht="16" customHeight="1" x14ac:dyDescent="0.25"/>
    <row r="1251" ht="16" customHeight="1" x14ac:dyDescent="0.25"/>
    <row r="1252" ht="16" customHeight="1" x14ac:dyDescent="0.25"/>
    <row r="1253" ht="16" customHeight="1" x14ac:dyDescent="0.25"/>
    <row r="1254" ht="16" customHeight="1" x14ac:dyDescent="0.25"/>
    <row r="1255" ht="16" customHeight="1" x14ac:dyDescent="0.25"/>
    <row r="1256" ht="16" customHeight="1" x14ac:dyDescent="0.25"/>
    <row r="1257" ht="16" customHeight="1" x14ac:dyDescent="0.25"/>
    <row r="1258" ht="16" customHeight="1" x14ac:dyDescent="0.25"/>
    <row r="1259" ht="16" customHeight="1" x14ac:dyDescent="0.25"/>
    <row r="1260" ht="16" customHeight="1" x14ac:dyDescent="0.25"/>
    <row r="1261" ht="16" customHeight="1" x14ac:dyDescent="0.25"/>
    <row r="1262" ht="16" customHeight="1" x14ac:dyDescent="0.25"/>
    <row r="1263" ht="16" customHeight="1" x14ac:dyDescent="0.25"/>
    <row r="1264" ht="16" customHeight="1" x14ac:dyDescent="0.25"/>
    <row r="1265" ht="16" customHeight="1" x14ac:dyDescent="0.25"/>
    <row r="1266" ht="16" customHeight="1" x14ac:dyDescent="0.25"/>
    <row r="1267" ht="16" customHeight="1" x14ac:dyDescent="0.25"/>
    <row r="1268" ht="16" customHeight="1" x14ac:dyDescent="0.25"/>
    <row r="1269" ht="16" customHeight="1" x14ac:dyDescent="0.25"/>
    <row r="1270" ht="16" customHeight="1" x14ac:dyDescent="0.25"/>
    <row r="1271" ht="16" customHeight="1" x14ac:dyDescent="0.25"/>
    <row r="1272" ht="16" customHeight="1" x14ac:dyDescent="0.25"/>
    <row r="1273" ht="16" customHeight="1" x14ac:dyDescent="0.25"/>
    <row r="1274" ht="16" customHeight="1" x14ac:dyDescent="0.25"/>
    <row r="1275" ht="16" customHeight="1" x14ac:dyDescent="0.25"/>
    <row r="1276" ht="16" customHeight="1" x14ac:dyDescent="0.25"/>
    <row r="1277" ht="16" customHeight="1" x14ac:dyDescent="0.25"/>
    <row r="1278" ht="16" customHeight="1" x14ac:dyDescent="0.25"/>
    <row r="1279" ht="16" customHeight="1" x14ac:dyDescent="0.25"/>
    <row r="1280" ht="16" customHeight="1" x14ac:dyDescent="0.25"/>
    <row r="1281" ht="16" customHeight="1" x14ac:dyDescent="0.25"/>
    <row r="1282" ht="16" customHeight="1" x14ac:dyDescent="0.25"/>
    <row r="1283" ht="16" customHeight="1" x14ac:dyDescent="0.25"/>
    <row r="1284" ht="16" customHeight="1" x14ac:dyDescent="0.25"/>
    <row r="1285" ht="16" customHeight="1" x14ac:dyDescent="0.25"/>
    <row r="1286" ht="16" customHeight="1" x14ac:dyDescent="0.25"/>
    <row r="1287" ht="16" customHeight="1" x14ac:dyDescent="0.25"/>
    <row r="1288" ht="16" customHeight="1" x14ac:dyDescent="0.25"/>
    <row r="1289" ht="16" customHeight="1" x14ac:dyDescent="0.25"/>
    <row r="1290" ht="16" customHeight="1" x14ac:dyDescent="0.25"/>
    <row r="1291" ht="16" customHeight="1" x14ac:dyDescent="0.25"/>
    <row r="1292" ht="16" customHeight="1" x14ac:dyDescent="0.25"/>
    <row r="1293" ht="16" customHeight="1" x14ac:dyDescent="0.25"/>
    <row r="1294" ht="16" customHeight="1" x14ac:dyDescent="0.25"/>
    <row r="1295" ht="16" customHeight="1" x14ac:dyDescent="0.25"/>
    <row r="1296" ht="16" customHeight="1" x14ac:dyDescent="0.25"/>
    <row r="1297" ht="16" customHeight="1" x14ac:dyDescent="0.25"/>
    <row r="1298" ht="16" customHeight="1" x14ac:dyDescent="0.25"/>
    <row r="1299" ht="16" customHeight="1" x14ac:dyDescent="0.25"/>
    <row r="1300" ht="16" customHeight="1" x14ac:dyDescent="0.25"/>
    <row r="1301" ht="16" customHeight="1" x14ac:dyDescent="0.25"/>
    <row r="1302" ht="16" customHeight="1" x14ac:dyDescent="0.25"/>
    <row r="1303" ht="16" customHeight="1" x14ac:dyDescent="0.25"/>
    <row r="1304" ht="16" customHeight="1" x14ac:dyDescent="0.25"/>
    <row r="1305" ht="16" customHeight="1" x14ac:dyDescent="0.25"/>
    <row r="1306" ht="16" customHeight="1" x14ac:dyDescent="0.25"/>
    <row r="1307" ht="16" customHeight="1" x14ac:dyDescent="0.25"/>
    <row r="1308" ht="16" customHeight="1" x14ac:dyDescent="0.25"/>
    <row r="1309" ht="16" customHeight="1" x14ac:dyDescent="0.25"/>
    <row r="1310" ht="16" customHeight="1" x14ac:dyDescent="0.25"/>
    <row r="1311" ht="16" customHeight="1" x14ac:dyDescent="0.25"/>
    <row r="1312" ht="16" customHeight="1" x14ac:dyDescent="0.25"/>
    <row r="1313" ht="16" customHeight="1" x14ac:dyDescent="0.25"/>
    <row r="1314" ht="16" customHeight="1" x14ac:dyDescent="0.25"/>
    <row r="1315" ht="16" customHeight="1" x14ac:dyDescent="0.25"/>
    <row r="1316" ht="16" customHeight="1" x14ac:dyDescent="0.25"/>
    <row r="1317" ht="16" customHeight="1" x14ac:dyDescent="0.25"/>
    <row r="1318" ht="16" customHeight="1" x14ac:dyDescent="0.25"/>
    <row r="1319" ht="16" customHeight="1" x14ac:dyDescent="0.25"/>
    <row r="1320" ht="16" customHeight="1" x14ac:dyDescent="0.25"/>
    <row r="1321" ht="16" customHeight="1" x14ac:dyDescent="0.25"/>
    <row r="1322" ht="16" customHeight="1" x14ac:dyDescent="0.25"/>
    <row r="1323" ht="16" customHeight="1" x14ac:dyDescent="0.25"/>
    <row r="1324" ht="16" customHeight="1" x14ac:dyDescent="0.25"/>
    <row r="1325" ht="16" customHeight="1" x14ac:dyDescent="0.25"/>
    <row r="1326" ht="16" customHeight="1" x14ac:dyDescent="0.25"/>
    <row r="1327" ht="16" customHeight="1" x14ac:dyDescent="0.25"/>
    <row r="1328" ht="16" customHeight="1" x14ac:dyDescent="0.25"/>
    <row r="1329" ht="16" customHeight="1" x14ac:dyDescent="0.25"/>
    <row r="1330" ht="16" customHeight="1" x14ac:dyDescent="0.25"/>
    <row r="1331" ht="16" customHeight="1" x14ac:dyDescent="0.25"/>
    <row r="1332" ht="16" customHeight="1" x14ac:dyDescent="0.25"/>
    <row r="1333" ht="16" customHeight="1" x14ac:dyDescent="0.25"/>
    <row r="1334" ht="16" customHeight="1" x14ac:dyDescent="0.25"/>
    <row r="1335" ht="16" customHeight="1" x14ac:dyDescent="0.25"/>
    <row r="1336" ht="16" customHeight="1" x14ac:dyDescent="0.25"/>
    <row r="1337" ht="16" customHeight="1" x14ac:dyDescent="0.25"/>
    <row r="1338" ht="16" customHeight="1" x14ac:dyDescent="0.25"/>
    <row r="1339" ht="16" customHeight="1" x14ac:dyDescent="0.25"/>
    <row r="1340" ht="16" customHeight="1" x14ac:dyDescent="0.25"/>
    <row r="1341" ht="16" customHeight="1" x14ac:dyDescent="0.25"/>
    <row r="1342" ht="16" customHeight="1" x14ac:dyDescent="0.25"/>
    <row r="1343" ht="16" customHeight="1" x14ac:dyDescent="0.25"/>
    <row r="1344" ht="16" customHeight="1" x14ac:dyDescent="0.25"/>
    <row r="1345" ht="16" customHeight="1" x14ac:dyDescent="0.25"/>
    <row r="1346" ht="16" customHeight="1" x14ac:dyDescent="0.25"/>
    <row r="1347" ht="16" customHeight="1" x14ac:dyDescent="0.25"/>
    <row r="1348" ht="16" customHeight="1" x14ac:dyDescent="0.25"/>
    <row r="1349" ht="16" customHeight="1" x14ac:dyDescent="0.25"/>
    <row r="1350" ht="16" customHeight="1" x14ac:dyDescent="0.25"/>
    <row r="1351" ht="16" customHeight="1" x14ac:dyDescent="0.25"/>
    <row r="1352" ht="16" customHeight="1" x14ac:dyDescent="0.25"/>
    <row r="1353" ht="16" customHeight="1" x14ac:dyDescent="0.25"/>
    <row r="1354" ht="16" customHeight="1" x14ac:dyDescent="0.25"/>
    <row r="1355" ht="16" customHeight="1" x14ac:dyDescent="0.25"/>
    <row r="1356" ht="16" customHeight="1" x14ac:dyDescent="0.25"/>
    <row r="1357" ht="16" customHeight="1" x14ac:dyDescent="0.25"/>
    <row r="1358" ht="16" customHeight="1" x14ac:dyDescent="0.25"/>
    <row r="1359" ht="16" customHeight="1" x14ac:dyDescent="0.25"/>
    <row r="1360" ht="16" customHeight="1" x14ac:dyDescent="0.25"/>
    <row r="1361" ht="16" customHeight="1" x14ac:dyDescent="0.25"/>
    <row r="1362" ht="16" customHeight="1" x14ac:dyDescent="0.25"/>
    <row r="1363" ht="16" customHeight="1" x14ac:dyDescent="0.25"/>
    <row r="1364" ht="16" customHeight="1" x14ac:dyDescent="0.25"/>
    <row r="1365" ht="16" customHeight="1" x14ac:dyDescent="0.25"/>
    <row r="1366" ht="16" customHeight="1" x14ac:dyDescent="0.25"/>
    <row r="1367" ht="16" customHeight="1" x14ac:dyDescent="0.25"/>
    <row r="1368" ht="16" customHeight="1" x14ac:dyDescent="0.25"/>
    <row r="1369" ht="16" customHeight="1" x14ac:dyDescent="0.25"/>
    <row r="1370" ht="16" customHeight="1" x14ac:dyDescent="0.25"/>
    <row r="1371" ht="16" customHeight="1" x14ac:dyDescent="0.25"/>
    <row r="1372" ht="16" customHeight="1" x14ac:dyDescent="0.25"/>
    <row r="1373" ht="16" customHeight="1" x14ac:dyDescent="0.25"/>
    <row r="1374" ht="16" customHeight="1" x14ac:dyDescent="0.25"/>
    <row r="1375" ht="16" customHeight="1" x14ac:dyDescent="0.25"/>
    <row r="1376" ht="16" customHeight="1" x14ac:dyDescent="0.25"/>
    <row r="1377" ht="16" customHeight="1" x14ac:dyDescent="0.25"/>
    <row r="1378" ht="16" customHeight="1" x14ac:dyDescent="0.25"/>
    <row r="1379" ht="16" customHeight="1" x14ac:dyDescent="0.25"/>
    <row r="1380" ht="16" customHeight="1" x14ac:dyDescent="0.25"/>
    <row r="1381" ht="16" customHeight="1" x14ac:dyDescent="0.25"/>
    <row r="1382" ht="16" customHeight="1" x14ac:dyDescent="0.25"/>
    <row r="1383" ht="16" customHeight="1" x14ac:dyDescent="0.25"/>
    <row r="1384" ht="16" customHeight="1" x14ac:dyDescent="0.25"/>
    <row r="1385" ht="16" customHeight="1" x14ac:dyDescent="0.25"/>
    <row r="1386" ht="16" customHeight="1" x14ac:dyDescent="0.25"/>
    <row r="1387" ht="16" customHeight="1" x14ac:dyDescent="0.25"/>
    <row r="1388" ht="16" customHeight="1" x14ac:dyDescent="0.25"/>
    <row r="1389" ht="16" customHeight="1" x14ac:dyDescent="0.25"/>
    <row r="1390" ht="16" customHeight="1" x14ac:dyDescent="0.25"/>
    <row r="1391" ht="16" customHeight="1" x14ac:dyDescent="0.25"/>
    <row r="1392" ht="16" customHeight="1" x14ac:dyDescent="0.25"/>
    <row r="1393" ht="16" customHeight="1" x14ac:dyDescent="0.25"/>
    <row r="1394" ht="16" customHeight="1" x14ac:dyDescent="0.25"/>
    <row r="1395" ht="16" customHeight="1" x14ac:dyDescent="0.25"/>
    <row r="1396" ht="16" customHeight="1" x14ac:dyDescent="0.25"/>
    <row r="1397" ht="16" customHeight="1" x14ac:dyDescent="0.25"/>
    <row r="1398" ht="16" customHeight="1" x14ac:dyDescent="0.25"/>
    <row r="1399" ht="16" customHeight="1" x14ac:dyDescent="0.25"/>
    <row r="1400" ht="16" customHeight="1" x14ac:dyDescent="0.25"/>
    <row r="1401" ht="16" customHeight="1" x14ac:dyDescent="0.25"/>
    <row r="1402" ht="16" customHeight="1" x14ac:dyDescent="0.25"/>
    <row r="1403" ht="16" customHeight="1" x14ac:dyDescent="0.25"/>
    <row r="1404" ht="16" customHeight="1" x14ac:dyDescent="0.25"/>
    <row r="1405" ht="16" customHeight="1" x14ac:dyDescent="0.25"/>
    <row r="1406" ht="16" customHeight="1" x14ac:dyDescent="0.25"/>
    <row r="1407" ht="16" customHeight="1" x14ac:dyDescent="0.25"/>
    <row r="1408" ht="16" customHeight="1" x14ac:dyDescent="0.25"/>
    <row r="1409" ht="16" customHeight="1" x14ac:dyDescent="0.25"/>
    <row r="1410" ht="16" customHeight="1" x14ac:dyDescent="0.25"/>
    <row r="1411" ht="16" customHeight="1" x14ac:dyDescent="0.25"/>
    <row r="1412" ht="16" customHeight="1" x14ac:dyDescent="0.25"/>
    <row r="1413" ht="16" customHeight="1" x14ac:dyDescent="0.25"/>
    <row r="1414" ht="16" customHeight="1" x14ac:dyDescent="0.25"/>
    <row r="1415" ht="16" customHeight="1" x14ac:dyDescent="0.25"/>
    <row r="1416" ht="16" customHeight="1" x14ac:dyDescent="0.25"/>
    <row r="1417" ht="16" customHeight="1" x14ac:dyDescent="0.25"/>
    <row r="1418" ht="16" customHeight="1" x14ac:dyDescent="0.25"/>
    <row r="1419" ht="16" customHeight="1" x14ac:dyDescent="0.25"/>
    <row r="1420" ht="16" customHeight="1" x14ac:dyDescent="0.25"/>
    <row r="1421" ht="16" customHeight="1" x14ac:dyDescent="0.25"/>
    <row r="1422" ht="16" customHeight="1" x14ac:dyDescent="0.25"/>
    <row r="1423" ht="16" customHeight="1" x14ac:dyDescent="0.25"/>
    <row r="1424" ht="16" customHeight="1" x14ac:dyDescent="0.25"/>
    <row r="1425" ht="16" customHeight="1" x14ac:dyDescent="0.25"/>
    <row r="1426" ht="16" customHeight="1" x14ac:dyDescent="0.25"/>
    <row r="1427" ht="16" customHeight="1" x14ac:dyDescent="0.25"/>
    <row r="1428" ht="16" customHeight="1" x14ac:dyDescent="0.25"/>
    <row r="1429" ht="16" customHeight="1" x14ac:dyDescent="0.25"/>
    <row r="1430" ht="16" customHeight="1" x14ac:dyDescent="0.25"/>
    <row r="1431" ht="16" customHeight="1" x14ac:dyDescent="0.25"/>
    <row r="1432" ht="16" customHeight="1" x14ac:dyDescent="0.25"/>
    <row r="1433" ht="16" customHeight="1" x14ac:dyDescent="0.25"/>
    <row r="1434" ht="16" customHeight="1" x14ac:dyDescent="0.25"/>
    <row r="1435" ht="16" customHeight="1" x14ac:dyDescent="0.25"/>
    <row r="1436" ht="16" customHeight="1" x14ac:dyDescent="0.25"/>
    <row r="1437" ht="16" customHeight="1" x14ac:dyDescent="0.25"/>
    <row r="1438" ht="16" customHeight="1" x14ac:dyDescent="0.25"/>
    <row r="1439" ht="16" customHeight="1" x14ac:dyDescent="0.25"/>
    <row r="1440" ht="16" customHeight="1" x14ac:dyDescent="0.25"/>
    <row r="1441" ht="16" customHeight="1" x14ac:dyDescent="0.25"/>
    <row r="1442" ht="16" customHeight="1" x14ac:dyDescent="0.25"/>
    <row r="1443" ht="16" customHeight="1" x14ac:dyDescent="0.25"/>
    <row r="1444" ht="16" customHeight="1" x14ac:dyDescent="0.25"/>
    <row r="1445" ht="16" customHeight="1" x14ac:dyDescent="0.25"/>
    <row r="1446" ht="16" customHeight="1" x14ac:dyDescent="0.25"/>
    <row r="1447" ht="16" customHeight="1" x14ac:dyDescent="0.25"/>
    <row r="1448" ht="16" customHeight="1" x14ac:dyDescent="0.25"/>
    <row r="1449" ht="16" customHeight="1" x14ac:dyDescent="0.25"/>
    <row r="1450" ht="16" customHeight="1" x14ac:dyDescent="0.25"/>
    <row r="1451" ht="16" customHeight="1" x14ac:dyDescent="0.25"/>
    <row r="1452" ht="16" customHeight="1" x14ac:dyDescent="0.25"/>
    <row r="1453" ht="16" customHeight="1" x14ac:dyDescent="0.25"/>
    <row r="1454" ht="16" customHeight="1" x14ac:dyDescent="0.25"/>
    <row r="1455" ht="16" customHeight="1" x14ac:dyDescent="0.25"/>
    <row r="1456" ht="16" customHeight="1" x14ac:dyDescent="0.25"/>
    <row r="1457" ht="16" customHeight="1" x14ac:dyDescent="0.25"/>
    <row r="1458" ht="16" customHeight="1" x14ac:dyDescent="0.25"/>
    <row r="1459" ht="16" customHeight="1" x14ac:dyDescent="0.25"/>
    <row r="1460" ht="16" customHeight="1" x14ac:dyDescent="0.25"/>
    <row r="1461" ht="16" customHeight="1" x14ac:dyDescent="0.25"/>
    <row r="1462" ht="16" customHeight="1" x14ac:dyDescent="0.25"/>
    <row r="1463" ht="16" customHeight="1" x14ac:dyDescent="0.25"/>
    <row r="1464" ht="16" customHeight="1" x14ac:dyDescent="0.25"/>
    <row r="1465" ht="16" customHeight="1" x14ac:dyDescent="0.25"/>
    <row r="1466" ht="16" customHeight="1" x14ac:dyDescent="0.25"/>
    <row r="1467" ht="16" customHeight="1" x14ac:dyDescent="0.25"/>
    <row r="1468" ht="16" customHeight="1" x14ac:dyDescent="0.25"/>
    <row r="1469" ht="16" customHeight="1" x14ac:dyDescent="0.25"/>
    <row r="1470" ht="16" customHeight="1" x14ac:dyDescent="0.25"/>
    <row r="1471" ht="16" customHeight="1" x14ac:dyDescent="0.25"/>
    <row r="1472" ht="16" customHeight="1" x14ac:dyDescent="0.25"/>
    <row r="1473" ht="16" customHeight="1" x14ac:dyDescent="0.25"/>
    <row r="1474" ht="16" customHeight="1" x14ac:dyDescent="0.25"/>
    <row r="1475" ht="16" customHeight="1" x14ac:dyDescent="0.25"/>
    <row r="1476" ht="16" customHeight="1" x14ac:dyDescent="0.25"/>
    <row r="1477" ht="16" customHeight="1" x14ac:dyDescent="0.25"/>
    <row r="1478" ht="16" customHeight="1" x14ac:dyDescent="0.25"/>
    <row r="1479" ht="16" customHeight="1" x14ac:dyDescent="0.25"/>
    <row r="1480" ht="16" customHeight="1" x14ac:dyDescent="0.25"/>
    <row r="1481" ht="16" customHeight="1" x14ac:dyDescent="0.25"/>
    <row r="1482" ht="16" customHeight="1" x14ac:dyDescent="0.25"/>
    <row r="1483" ht="16" customHeight="1" x14ac:dyDescent="0.25"/>
    <row r="1484" ht="16" customHeight="1" x14ac:dyDescent="0.25"/>
    <row r="1485" ht="16" customHeight="1" x14ac:dyDescent="0.25"/>
    <row r="1486" ht="16" customHeight="1" x14ac:dyDescent="0.25"/>
    <row r="1487" ht="16" customHeight="1" x14ac:dyDescent="0.25"/>
    <row r="1488" ht="16" customHeight="1" x14ac:dyDescent="0.25"/>
    <row r="1489" ht="16" customHeight="1" x14ac:dyDescent="0.25"/>
    <row r="1490" ht="16" customHeight="1" x14ac:dyDescent="0.25"/>
    <row r="1491" ht="16" customHeight="1" x14ac:dyDescent="0.25"/>
    <row r="1492" ht="16" customHeight="1" x14ac:dyDescent="0.25"/>
    <row r="1493" ht="16" customHeight="1" x14ac:dyDescent="0.25"/>
    <row r="1494" ht="16" customHeight="1" x14ac:dyDescent="0.25"/>
    <row r="1495" ht="16" customHeight="1" x14ac:dyDescent="0.25"/>
    <row r="1496" ht="16" customHeight="1" x14ac:dyDescent="0.25"/>
    <row r="1497" ht="16" customHeight="1" x14ac:dyDescent="0.25"/>
    <row r="1498" ht="16" customHeight="1" x14ac:dyDescent="0.25"/>
    <row r="1499" ht="16" customHeight="1" x14ac:dyDescent="0.25"/>
    <row r="1500" ht="16" customHeight="1" x14ac:dyDescent="0.25"/>
    <row r="1501" ht="16" customHeight="1" x14ac:dyDescent="0.25"/>
    <row r="1502" ht="16" customHeight="1" x14ac:dyDescent="0.25"/>
    <row r="1503" ht="16" customHeight="1" x14ac:dyDescent="0.25"/>
    <row r="1504" ht="16" customHeight="1" x14ac:dyDescent="0.25"/>
    <row r="1505" ht="16" customHeight="1" x14ac:dyDescent="0.25"/>
    <row r="1506" ht="16" customHeight="1" x14ac:dyDescent="0.25"/>
    <row r="1507" ht="16" customHeight="1" x14ac:dyDescent="0.25"/>
    <row r="1508" ht="16" customHeight="1" x14ac:dyDescent="0.25"/>
    <row r="1509" ht="16" customHeight="1" x14ac:dyDescent="0.25"/>
    <row r="1510" ht="16" customHeight="1" x14ac:dyDescent="0.25"/>
    <row r="1511" ht="16" customHeight="1" x14ac:dyDescent="0.25"/>
    <row r="1512" ht="16" customHeight="1" x14ac:dyDescent="0.25"/>
    <row r="1513" ht="16" customHeight="1" x14ac:dyDescent="0.25"/>
    <row r="1514" ht="16" customHeight="1" x14ac:dyDescent="0.25"/>
    <row r="1515" ht="16" customHeight="1" x14ac:dyDescent="0.25"/>
    <row r="1516" ht="16" customHeight="1" x14ac:dyDescent="0.25"/>
    <row r="1517" ht="16" customHeight="1" x14ac:dyDescent="0.25"/>
    <row r="1518" ht="16" customHeight="1" x14ac:dyDescent="0.25"/>
    <row r="1519" ht="16" customHeight="1" x14ac:dyDescent="0.25"/>
    <row r="1520" ht="16" customHeight="1" x14ac:dyDescent="0.25"/>
    <row r="1521" ht="16" customHeight="1" x14ac:dyDescent="0.25"/>
    <row r="1522" ht="16" customHeight="1" x14ac:dyDescent="0.25"/>
    <row r="1523" ht="16" customHeight="1" x14ac:dyDescent="0.25"/>
    <row r="1524" ht="16" customHeight="1" x14ac:dyDescent="0.25"/>
    <row r="1525" ht="16" customHeight="1" x14ac:dyDescent="0.25"/>
    <row r="1526" ht="16" customHeight="1" x14ac:dyDescent="0.25"/>
    <row r="1527" ht="16" customHeight="1" x14ac:dyDescent="0.25"/>
    <row r="1528" ht="16" customHeight="1" x14ac:dyDescent="0.25"/>
    <row r="1529" ht="16" customHeight="1" x14ac:dyDescent="0.25"/>
    <row r="1530" ht="16" customHeight="1" x14ac:dyDescent="0.25"/>
    <row r="1531" ht="16" customHeight="1" x14ac:dyDescent="0.25"/>
    <row r="1532" ht="16" customHeight="1" x14ac:dyDescent="0.25"/>
    <row r="1533" ht="16" customHeight="1" x14ac:dyDescent="0.25"/>
    <row r="1534" ht="16" customHeight="1" x14ac:dyDescent="0.25"/>
    <row r="1535" ht="16" customHeight="1" x14ac:dyDescent="0.25"/>
    <row r="1536" ht="16" customHeight="1" x14ac:dyDescent="0.25"/>
    <row r="1537" ht="16" customHeight="1" x14ac:dyDescent="0.25"/>
    <row r="1538" ht="16" customHeight="1" x14ac:dyDescent="0.25"/>
    <row r="1539" ht="16" customHeight="1" x14ac:dyDescent="0.25"/>
    <row r="1540" ht="16" customHeight="1" x14ac:dyDescent="0.25"/>
    <row r="1541" ht="16" customHeight="1" x14ac:dyDescent="0.25"/>
    <row r="1542" ht="16" customHeight="1" x14ac:dyDescent="0.25"/>
    <row r="1543" ht="16" customHeight="1" x14ac:dyDescent="0.25"/>
    <row r="1544" ht="16" customHeight="1" x14ac:dyDescent="0.25"/>
    <row r="1545" ht="16" customHeight="1" x14ac:dyDescent="0.25"/>
    <row r="1546" ht="16" customHeight="1" x14ac:dyDescent="0.25"/>
    <row r="1547" ht="16" customHeight="1" x14ac:dyDescent="0.25"/>
    <row r="1548" ht="16" customHeight="1" x14ac:dyDescent="0.25"/>
    <row r="1549" ht="16" customHeight="1" x14ac:dyDescent="0.25"/>
    <row r="1550" ht="16" customHeight="1" x14ac:dyDescent="0.25"/>
    <row r="1551" ht="16" customHeight="1" x14ac:dyDescent="0.25"/>
    <row r="1552" ht="16" customHeight="1" x14ac:dyDescent="0.25"/>
    <row r="1553" ht="16" customHeight="1" x14ac:dyDescent="0.25"/>
    <row r="1554" ht="16" customHeight="1" x14ac:dyDescent="0.25"/>
    <row r="1555" ht="16" customHeight="1" x14ac:dyDescent="0.25"/>
    <row r="1556" ht="16" customHeight="1" x14ac:dyDescent="0.25"/>
    <row r="1557" ht="16" customHeight="1" x14ac:dyDescent="0.25"/>
    <row r="1558" ht="16" customHeight="1" x14ac:dyDescent="0.25"/>
    <row r="1559" ht="16" customHeight="1" x14ac:dyDescent="0.25"/>
    <row r="1560" ht="16" customHeight="1" x14ac:dyDescent="0.25"/>
    <row r="1561" ht="16" customHeight="1" x14ac:dyDescent="0.25"/>
    <row r="1562" ht="16" customHeight="1" x14ac:dyDescent="0.25"/>
    <row r="1563" ht="16" customHeight="1" x14ac:dyDescent="0.25"/>
    <row r="1564" ht="16" customHeight="1" x14ac:dyDescent="0.25"/>
    <row r="1565" ht="16" customHeight="1" x14ac:dyDescent="0.25"/>
    <row r="1566" ht="16" customHeight="1" x14ac:dyDescent="0.25"/>
    <row r="1567" ht="16" customHeight="1" x14ac:dyDescent="0.25"/>
    <row r="1568" ht="16" customHeight="1" x14ac:dyDescent="0.25"/>
    <row r="1569" ht="16" customHeight="1" x14ac:dyDescent="0.25"/>
    <row r="1570" ht="16" customHeight="1" x14ac:dyDescent="0.25"/>
    <row r="1571" ht="16" customHeight="1" x14ac:dyDescent="0.25"/>
    <row r="1572" ht="16" customHeight="1" x14ac:dyDescent="0.25"/>
    <row r="1573" ht="16" customHeight="1" x14ac:dyDescent="0.25"/>
    <row r="1574" ht="16" customHeight="1" x14ac:dyDescent="0.25"/>
    <row r="1575" ht="16" customHeight="1" x14ac:dyDescent="0.25"/>
    <row r="1576" ht="16" customHeight="1" x14ac:dyDescent="0.25"/>
    <row r="1577" ht="16" customHeight="1" x14ac:dyDescent="0.25"/>
    <row r="1578" ht="16" customHeight="1" x14ac:dyDescent="0.25"/>
    <row r="1579" ht="16" customHeight="1" x14ac:dyDescent="0.25"/>
    <row r="1580" ht="16" customHeight="1" x14ac:dyDescent="0.25"/>
    <row r="1581" ht="16" customHeight="1" x14ac:dyDescent="0.25"/>
    <row r="1582" ht="16" customHeight="1" x14ac:dyDescent="0.25"/>
    <row r="1583" ht="16" customHeight="1" x14ac:dyDescent="0.25"/>
    <row r="1584" ht="16" customHeight="1" x14ac:dyDescent="0.25"/>
    <row r="1585" ht="16" customHeight="1" x14ac:dyDescent="0.25"/>
    <row r="1586" ht="16" customHeight="1" x14ac:dyDescent="0.25"/>
    <row r="1587" ht="16" customHeight="1" x14ac:dyDescent="0.25"/>
    <row r="1588" ht="16" customHeight="1" x14ac:dyDescent="0.25"/>
    <row r="1589" ht="16" customHeight="1" x14ac:dyDescent="0.25"/>
    <row r="1590" ht="16" customHeight="1" x14ac:dyDescent="0.25"/>
    <row r="1591" ht="16" customHeight="1" x14ac:dyDescent="0.25"/>
    <row r="1592" ht="16" customHeight="1" x14ac:dyDescent="0.25"/>
    <row r="1593" ht="16" customHeight="1" x14ac:dyDescent="0.25"/>
    <row r="1594" ht="16" customHeight="1" x14ac:dyDescent="0.25"/>
    <row r="1595" ht="16" customHeight="1" x14ac:dyDescent="0.25"/>
    <row r="1596" ht="16" customHeight="1" x14ac:dyDescent="0.25"/>
    <row r="1597" ht="16" customHeight="1" x14ac:dyDescent="0.25"/>
    <row r="1598" ht="16" customHeight="1" x14ac:dyDescent="0.25"/>
    <row r="1599" ht="16" customHeight="1" x14ac:dyDescent="0.25"/>
    <row r="1600" ht="16" customHeight="1" x14ac:dyDescent="0.25"/>
    <row r="1601" ht="16" customHeight="1" x14ac:dyDescent="0.25"/>
    <row r="1602" ht="16" customHeight="1" x14ac:dyDescent="0.25"/>
    <row r="1603" ht="16" customHeight="1" x14ac:dyDescent="0.25"/>
    <row r="1604" ht="16" customHeight="1" x14ac:dyDescent="0.25"/>
    <row r="1605" ht="16" customHeight="1" x14ac:dyDescent="0.25"/>
    <row r="1606" ht="16" customHeight="1" x14ac:dyDescent="0.25"/>
    <row r="1607" ht="16" customHeight="1" x14ac:dyDescent="0.25"/>
    <row r="1608" ht="16" customHeight="1" x14ac:dyDescent="0.25"/>
    <row r="1609" ht="16" customHeight="1" x14ac:dyDescent="0.25"/>
    <row r="1610" ht="16" customHeight="1" x14ac:dyDescent="0.25"/>
    <row r="1611" ht="16" customHeight="1" x14ac:dyDescent="0.25"/>
    <row r="1612" ht="16" customHeight="1" x14ac:dyDescent="0.25"/>
    <row r="1613" ht="16" customHeight="1" x14ac:dyDescent="0.25"/>
    <row r="1614" ht="16" customHeight="1" x14ac:dyDescent="0.25"/>
    <row r="1615" ht="16" customHeight="1" x14ac:dyDescent="0.25"/>
    <row r="1616" ht="16" customHeight="1" x14ac:dyDescent="0.25"/>
    <row r="1617" ht="16" customHeight="1" x14ac:dyDescent="0.25"/>
    <row r="1618" ht="16" customHeight="1" x14ac:dyDescent="0.25"/>
    <row r="1619" ht="16" customHeight="1" x14ac:dyDescent="0.25"/>
    <row r="1620" ht="16" customHeight="1" x14ac:dyDescent="0.25"/>
    <row r="1621" ht="16" customHeight="1" x14ac:dyDescent="0.25"/>
    <row r="1622" ht="16" customHeight="1" x14ac:dyDescent="0.25"/>
    <row r="1623" ht="16" customHeight="1" x14ac:dyDescent="0.25"/>
    <row r="1624" ht="16" customHeight="1" x14ac:dyDescent="0.25"/>
    <row r="1625" ht="16" customHeight="1" x14ac:dyDescent="0.25"/>
    <row r="1626" ht="16" customHeight="1" x14ac:dyDescent="0.25"/>
    <row r="1627" ht="16" customHeight="1" x14ac:dyDescent="0.25"/>
    <row r="1628" ht="16" customHeight="1" x14ac:dyDescent="0.25"/>
    <row r="1629" ht="16" customHeight="1" x14ac:dyDescent="0.25"/>
    <row r="1630" ht="16" customHeight="1" x14ac:dyDescent="0.25"/>
    <row r="1631" ht="16" customHeight="1" x14ac:dyDescent="0.25"/>
    <row r="1632" ht="16" customHeight="1" x14ac:dyDescent="0.25"/>
    <row r="1633" ht="16" customHeight="1" x14ac:dyDescent="0.25"/>
    <row r="1634" ht="16" customHeight="1" x14ac:dyDescent="0.25"/>
    <row r="1635" ht="16" customHeight="1" x14ac:dyDescent="0.25"/>
    <row r="1636" ht="16" customHeight="1" x14ac:dyDescent="0.25"/>
    <row r="1637" ht="16" customHeight="1" x14ac:dyDescent="0.25"/>
    <row r="1638" ht="16" customHeight="1" x14ac:dyDescent="0.25"/>
    <row r="1639" ht="16" customHeight="1" x14ac:dyDescent="0.25"/>
    <row r="1640" ht="16" customHeight="1" x14ac:dyDescent="0.25"/>
    <row r="1641" ht="16" customHeight="1" x14ac:dyDescent="0.25"/>
    <row r="1642" ht="16" customHeight="1" x14ac:dyDescent="0.25"/>
    <row r="1643" ht="16" customHeight="1" x14ac:dyDescent="0.25"/>
    <row r="1644" ht="16" customHeight="1" x14ac:dyDescent="0.25"/>
    <row r="1645" ht="16" customHeight="1" x14ac:dyDescent="0.25"/>
    <row r="1646" ht="16" customHeight="1" x14ac:dyDescent="0.25"/>
    <row r="1647" ht="16" customHeight="1" x14ac:dyDescent="0.25"/>
    <row r="1648" ht="16" customHeight="1" x14ac:dyDescent="0.25"/>
    <row r="1649" ht="16" customHeight="1" x14ac:dyDescent="0.25"/>
    <row r="1650" ht="16" customHeight="1" x14ac:dyDescent="0.25"/>
    <row r="1651" ht="16" customHeight="1" x14ac:dyDescent="0.25"/>
    <row r="1652" ht="16" customHeight="1" x14ac:dyDescent="0.25"/>
    <row r="1653" ht="16" customHeight="1" x14ac:dyDescent="0.25"/>
    <row r="1654" ht="16" customHeight="1" x14ac:dyDescent="0.25"/>
    <row r="1655" ht="16" customHeight="1" x14ac:dyDescent="0.25"/>
    <row r="1656" ht="16" customHeight="1" x14ac:dyDescent="0.25"/>
    <row r="1657" ht="16" customHeight="1" x14ac:dyDescent="0.25"/>
    <row r="1658" ht="16" customHeight="1" x14ac:dyDescent="0.25"/>
    <row r="1659" ht="16" customHeight="1" x14ac:dyDescent="0.25"/>
    <row r="1660" ht="16" customHeight="1" x14ac:dyDescent="0.25"/>
    <row r="1661" ht="16" customHeight="1" x14ac:dyDescent="0.25"/>
    <row r="1662" ht="16" customHeight="1" x14ac:dyDescent="0.25"/>
    <row r="1663" ht="16" customHeight="1" x14ac:dyDescent="0.25"/>
    <row r="1664" ht="16" customHeight="1" x14ac:dyDescent="0.25"/>
    <row r="1665" ht="16" customHeight="1" x14ac:dyDescent="0.25"/>
    <row r="1666" ht="16" customHeight="1" x14ac:dyDescent="0.25"/>
    <row r="1667" ht="16" customHeight="1" x14ac:dyDescent="0.25"/>
    <row r="1668" ht="16" customHeight="1" x14ac:dyDescent="0.25"/>
    <row r="1669" ht="16" customHeight="1" x14ac:dyDescent="0.25"/>
    <row r="1670" ht="16" customHeight="1" x14ac:dyDescent="0.25"/>
    <row r="1671" ht="16" customHeight="1" x14ac:dyDescent="0.25"/>
    <row r="1672" ht="16" customHeight="1" x14ac:dyDescent="0.25"/>
    <row r="1673" ht="16" customHeight="1" x14ac:dyDescent="0.25"/>
    <row r="1674" ht="16" customHeight="1" x14ac:dyDescent="0.25"/>
    <row r="1675" ht="16" customHeight="1" x14ac:dyDescent="0.25"/>
    <row r="1676" ht="16" customHeight="1" x14ac:dyDescent="0.25"/>
    <row r="1677" ht="16" customHeight="1" x14ac:dyDescent="0.25"/>
    <row r="1678" ht="16" customHeight="1" x14ac:dyDescent="0.25"/>
    <row r="1679" ht="16" customHeight="1" x14ac:dyDescent="0.25"/>
    <row r="1680" ht="16" customHeight="1" x14ac:dyDescent="0.25"/>
    <row r="1681" ht="16" customHeight="1" x14ac:dyDescent="0.25"/>
    <row r="1682" ht="16" customHeight="1" x14ac:dyDescent="0.25"/>
    <row r="1683" ht="16" customHeight="1" x14ac:dyDescent="0.25"/>
    <row r="1684" ht="16" customHeight="1" x14ac:dyDescent="0.25"/>
    <row r="1685" ht="16" customHeight="1" x14ac:dyDescent="0.25"/>
    <row r="1686" ht="16" customHeight="1" x14ac:dyDescent="0.25"/>
    <row r="1687" ht="16" customHeight="1" x14ac:dyDescent="0.25"/>
    <row r="1688" ht="16" customHeight="1" x14ac:dyDescent="0.25"/>
    <row r="1689" ht="16" customHeight="1" x14ac:dyDescent="0.25"/>
    <row r="1690" ht="16" customHeight="1" x14ac:dyDescent="0.25"/>
    <row r="1691" ht="16" customHeight="1" x14ac:dyDescent="0.25"/>
    <row r="1692" ht="16" customHeight="1" x14ac:dyDescent="0.25"/>
    <row r="1693" ht="16" customHeight="1" x14ac:dyDescent="0.25"/>
    <row r="1694" ht="16" customHeight="1" x14ac:dyDescent="0.25"/>
    <row r="1695" ht="16" customHeight="1" x14ac:dyDescent="0.25"/>
    <row r="1696" ht="16" customHeight="1" x14ac:dyDescent="0.25"/>
    <row r="1697" ht="16" customHeight="1" x14ac:dyDescent="0.25"/>
    <row r="1698" ht="16" customHeight="1" x14ac:dyDescent="0.25"/>
    <row r="1699" ht="16" customHeight="1" x14ac:dyDescent="0.25"/>
    <row r="1700" ht="16" customHeight="1" x14ac:dyDescent="0.25"/>
    <row r="1701" ht="16" customHeight="1" x14ac:dyDescent="0.25"/>
    <row r="1702" ht="16" customHeight="1" x14ac:dyDescent="0.25"/>
    <row r="1703" ht="16" customHeight="1" x14ac:dyDescent="0.25"/>
    <row r="1704" ht="16" customHeight="1" x14ac:dyDescent="0.25"/>
    <row r="1705" ht="16" customHeight="1" x14ac:dyDescent="0.25"/>
    <row r="1706" ht="16" customHeight="1" x14ac:dyDescent="0.25"/>
    <row r="1707" ht="16" customHeight="1" x14ac:dyDescent="0.25"/>
    <row r="1708" ht="16" customHeight="1" x14ac:dyDescent="0.25"/>
    <row r="1709" ht="16" customHeight="1" x14ac:dyDescent="0.25"/>
    <row r="1710" ht="16" customHeight="1" x14ac:dyDescent="0.25"/>
    <row r="1711" ht="16" customHeight="1" x14ac:dyDescent="0.25"/>
    <row r="1712" ht="16" customHeight="1" x14ac:dyDescent="0.25"/>
    <row r="1713" ht="16" customHeight="1" x14ac:dyDescent="0.25"/>
    <row r="1714" ht="16" customHeight="1" x14ac:dyDescent="0.25"/>
    <row r="1715" ht="16" customHeight="1" x14ac:dyDescent="0.25"/>
    <row r="1716" ht="16" customHeight="1" x14ac:dyDescent="0.25"/>
    <row r="1717" ht="16" customHeight="1" x14ac:dyDescent="0.25"/>
    <row r="1718" ht="16" customHeight="1" x14ac:dyDescent="0.25"/>
    <row r="1719" ht="16" customHeight="1" x14ac:dyDescent="0.25"/>
    <row r="1720" ht="16" customHeight="1" x14ac:dyDescent="0.25"/>
    <row r="1721" ht="16" customHeight="1" x14ac:dyDescent="0.25"/>
    <row r="1722" ht="16" customHeight="1" x14ac:dyDescent="0.25"/>
    <row r="1723" ht="16" customHeight="1" x14ac:dyDescent="0.25"/>
    <row r="1724" ht="16" customHeight="1" x14ac:dyDescent="0.25"/>
    <row r="1725" ht="16" customHeight="1" x14ac:dyDescent="0.25"/>
    <row r="1726" ht="16" customHeight="1" x14ac:dyDescent="0.25"/>
    <row r="1727" ht="16" customHeight="1" x14ac:dyDescent="0.25"/>
    <row r="1728" ht="16" customHeight="1" x14ac:dyDescent="0.25"/>
    <row r="1729" ht="16" customHeight="1" x14ac:dyDescent="0.25"/>
    <row r="1730" ht="16" customHeight="1" x14ac:dyDescent="0.25"/>
    <row r="1731" ht="16" customHeight="1" x14ac:dyDescent="0.25"/>
    <row r="1732" ht="16" customHeight="1" x14ac:dyDescent="0.25"/>
    <row r="1733" ht="16" customHeight="1" x14ac:dyDescent="0.25"/>
    <row r="1734" ht="16" customHeight="1" x14ac:dyDescent="0.25"/>
    <row r="1735" ht="16" customHeight="1" x14ac:dyDescent="0.25"/>
    <row r="1736" ht="16" customHeight="1" x14ac:dyDescent="0.25"/>
    <row r="1737" ht="16" customHeight="1" x14ac:dyDescent="0.25"/>
    <row r="1738" ht="16" customHeight="1" x14ac:dyDescent="0.25"/>
    <row r="1739" ht="16" customHeight="1" x14ac:dyDescent="0.25"/>
    <row r="1740" ht="16" customHeight="1" x14ac:dyDescent="0.25"/>
    <row r="1741" ht="16" customHeight="1" x14ac:dyDescent="0.25"/>
    <row r="1742" ht="16" customHeight="1" x14ac:dyDescent="0.25"/>
    <row r="1743" ht="16" customHeight="1" x14ac:dyDescent="0.25"/>
    <row r="1744" ht="16" customHeight="1" x14ac:dyDescent="0.25"/>
    <row r="1745" ht="16" customHeight="1" x14ac:dyDescent="0.25"/>
    <row r="1746" ht="16" customHeight="1" x14ac:dyDescent="0.25"/>
    <row r="1747" ht="16" customHeight="1" x14ac:dyDescent="0.25"/>
    <row r="1748" ht="16" customHeight="1" x14ac:dyDescent="0.25"/>
    <row r="1749" ht="16" customHeight="1" x14ac:dyDescent="0.25"/>
    <row r="1750" ht="16" customHeight="1" x14ac:dyDescent="0.25"/>
    <row r="1751" ht="16" customHeight="1" x14ac:dyDescent="0.25"/>
    <row r="1752" ht="16" customHeight="1" x14ac:dyDescent="0.25"/>
    <row r="1753" ht="16" customHeight="1" x14ac:dyDescent="0.25"/>
    <row r="1754" ht="16" customHeight="1" x14ac:dyDescent="0.25"/>
    <row r="1755" ht="16" customHeight="1" x14ac:dyDescent="0.25"/>
    <row r="1756" ht="16" customHeight="1" x14ac:dyDescent="0.25"/>
    <row r="1757" ht="16" customHeight="1" x14ac:dyDescent="0.25"/>
    <row r="1758" ht="16" customHeight="1" x14ac:dyDescent="0.25"/>
    <row r="1759" ht="16" customHeight="1" x14ac:dyDescent="0.25"/>
    <row r="1760" ht="16" customHeight="1" x14ac:dyDescent="0.25"/>
    <row r="1761" ht="16" customHeight="1" x14ac:dyDescent="0.25"/>
    <row r="1762" ht="16" customHeight="1" x14ac:dyDescent="0.25"/>
    <row r="1763" ht="16" customHeight="1" x14ac:dyDescent="0.25"/>
    <row r="1764" ht="16" customHeight="1" x14ac:dyDescent="0.25"/>
    <row r="1765" ht="16" customHeight="1" x14ac:dyDescent="0.25"/>
    <row r="1766" ht="16" customHeight="1" x14ac:dyDescent="0.25"/>
    <row r="1767" ht="16" customHeight="1" x14ac:dyDescent="0.25"/>
    <row r="1768" ht="16" customHeight="1" x14ac:dyDescent="0.25"/>
    <row r="1769" ht="16" customHeight="1" x14ac:dyDescent="0.25"/>
    <row r="1770" ht="16" customHeight="1" x14ac:dyDescent="0.25"/>
    <row r="1771" ht="16" customHeight="1" x14ac:dyDescent="0.25"/>
    <row r="1772" ht="16" customHeight="1" x14ac:dyDescent="0.25"/>
    <row r="1773" ht="16" customHeight="1" x14ac:dyDescent="0.25"/>
    <row r="1774" ht="16" customHeight="1" x14ac:dyDescent="0.25"/>
    <row r="1775" ht="16" customHeight="1" x14ac:dyDescent="0.25"/>
    <row r="1776" ht="16" customHeight="1" x14ac:dyDescent="0.25"/>
    <row r="1777" ht="16" customHeight="1" x14ac:dyDescent="0.25"/>
    <row r="1778" ht="16" customHeight="1" x14ac:dyDescent="0.25"/>
    <row r="1779" ht="16" customHeight="1" x14ac:dyDescent="0.25"/>
    <row r="1780" ht="16" customHeight="1" x14ac:dyDescent="0.25"/>
    <row r="1781" ht="16" customHeight="1" x14ac:dyDescent="0.25"/>
    <row r="1782" ht="16" customHeight="1" x14ac:dyDescent="0.25"/>
    <row r="1783" ht="16" customHeight="1" x14ac:dyDescent="0.25"/>
    <row r="1784" ht="16" customHeight="1" x14ac:dyDescent="0.25"/>
    <row r="1785" ht="16" customHeight="1" x14ac:dyDescent="0.25"/>
    <row r="1786" ht="16" customHeight="1" x14ac:dyDescent="0.25"/>
    <row r="1787" ht="16" customHeight="1" x14ac:dyDescent="0.25"/>
    <row r="1788" ht="16" customHeight="1" x14ac:dyDescent="0.25"/>
    <row r="1789" ht="16" customHeight="1" x14ac:dyDescent="0.25"/>
    <row r="1790" ht="16" customHeight="1" x14ac:dyDescent="0.25"/>
    <row r="1791" ht="16" customHeight="1" x14ac:dyDescent="0.25"/>
    <row r="1792" ht="16" customHeight="1" x14ac:dyDescent="0.25"/>
    <row r="1793" ht="16" customHeight="1" x14ac:dyDescent="0.25"/>
    <row r="1794" ht="16" customHeight="1" x14ac:dyDescent="0.25"/>
    <row r="1795" ht="16" customHeight="1" x14ac:dyDescent="0.25"/>
    <row r="1796" ht="16" customHeight="1" x14ac:dyDescent="0.25"/>
    <row r="1797" ht="16" customHeight="1" x14ac:dyDescent="0.25"/>
    <row r="1798" ht="16" customHeight="1" x14ac:dyDescent="0.25"/>
    <row r="1799" ht="16" customHeight="1" x14ac:dyDescent="0.25"/>
    <row r="1800" ht="16" customHeight="1" x14ac:dyDescent="0.25"/>
    <row r="1801" ht="16" customHeight="1" x14ac:dyDescent="0.25"/>
    <row r="1802" ht="16" customHeight="1" x14ac:dyDescent="0.25"/>
    <row r="1803" ht="16" customHeight="1" x14ac:dyDescent="0.25"/>
    <row r="1804" ht="16" customHeight="1" x14ac:dyDescent="0.25"/>
    <row r="1805" ht="16" customHeight="1" x14ac:dyDescent="0.25"/>
    <row r="1806" ht="16" customHeight="1" x14ac:dyDescent="0.25"/>
    <row r="1807" ht="16" customHeight="1" x14ac:dyDescent="0.25"/>
    <row r="1808" ht="16" customHeight="1" x14ac:dyDescent="0.25"/>
    <row r="1809" ht="16" customHeight="1" x14ac:dyDescent="0.25"/>
    <row r="1810" ht="16" customHeight="1" x14ac:dyDescent="0.25"/>
    <row r="1811" ht="16" customHeight="1" x14ac:dyDescent="0.25"/>
    <row r="1812" ht="16" customHeight="1" x14ac:dyDescent="0.25"/>
    <row r="1813" ht="16" customHeight="1" x14ac:dyDescent="0.25"/>
    <row r="1814" ht="16" customHeight="1" x14ac:dyDescent="0.25"/>
    <row r="1815" ht="16" customHeight="1" x14ac:dyDescent="0.25"/>
    <row r="1816" ht="16" customHeight="1" x14ac:dyDescent="0.25"/>
    <row r="1817" ht="16" customHeight="1" x14ac:dyDescent="0.25"/>
    <row r="1818" ht="16" customHeight="1" x14ac:dyDescent="0.25"/>
    <row r="1819" ht="16" customHeight="1" x14ac:dyDescent="0.25"/>
    <row r="1820" ht="16" customHeight="1" x14ac:dyDescent="0.25"/>
    <row r="1821" ht="16" customHeight="1" x14ac:dyDescent="0.25"/>
    <row r="1822" ht="16" customHeight="1" x14ac:dyDescent="0.25"/>
    <row r="1823" ht="16" customHeight="1" x14ac:dyDescent="0.25"/>
    <row r="1824" ht="16" customHeight="1" x14ac:dyDescent="0.25"/>
    <row r="1825" ht="16" customHeight="1" x14ac:dyDescent="0.25"/>
    <row r="1826" ht="16" customHeight="1" x14ac:dyDescent="0.25"/>
    <row r="1827" ht="16" customHeight="1" x14ac:dyDescent="0.25"/>
    <row r="1828" ht="16" customHeight="1" x14ac:dyDescent="0.25"/>
    <row r="1829" ht="16" customHeight="1" x14ac:dyDescent="0.25"/>
    <row r="1830" ht="16" customHeight="1" x14ac:dyDescent="0.25"/>
    <row r="1831" ht="16" customHeight="1" x14ac:dyDescent="0.25"/>
    <row r="1832" ht="16" customHeight="1" x14ac:dyDescent="0.25"/>
    <row r="1833" ht="16" customHeight="1" x14ac:dyDescent="0.25"/>
    <row r="1834" ht="16" customHeight="1" x14ac:dyDescent="0.25"/>
    <row r="1835" ht="16" customHeight="1" x14ac:dyDescent="0.25"/>
    <row r="1836" ht="16" customHeight="1" x14ac:dyDescent="0.25"/>
    <row r="1837" ht="16" customHeight="1" x14ac:dyDescent="0.25"/>
    <row r="1838" ht="16" customHeight="1" x14ac:dyDescent="0.25"/>
    <row r="1839" ht="16" customHeight="1" x14ac:dyDescent="0.25"/>
    <row r="1840" ht="16" customHeight="1" x14ac:dyDescent="0.25"/>
    <row r="1841" ht="16" customHeight="1" x14ac:dyDescent="0.25"/>
    <row r="1842" ht="16" customHeight="1" x14ac:dyDescent="0.25"/>
    <row r="1843" ht="16" customHeight="1" x14ac:dyDescent="0.25"/>
    <row r="1844" ht="16" customHeight="1" x14ac:dyDescent="0.25"/>
    <row r="1845" ht="16" customHeight="1" x14ac:dyDescent="0.25"/>
    <row r="1846" ht="16" customHeight="1" x14ac:dyDescent="0.25"/>
    <row r="1847" ht="16" customHeight="1" x14ac:dyDescent="0.25"/>
    <row r="1848" ht="16" customHeight="1" x14ac:dyDescent="0.25"/>
    <row r="1849" ht="16" customHeight="1" x14ac:dyDescent="0.25"/>
    <row r="1850" ht="16" customHeight="1" x14ac:dyDescent="0.25"/>
    <row r="1851" ht="16" customHeight="1" x14ac:dyDescent="0.25"/>
    <row r="1852" ht="16" customHeight="1" x14ac:dyDescent="0.25"/>
    <row r="1853" ht="16" customHeight="1" x14ac:dyDescent="0.25"/>
    <row r="1854" ht="16" customHeight="1" x14ac:dyDescent="0.25"/>
    <row r="1855" ht="16" customHeight="1" x14ac:dyDescent="0.25"/>
    <row r="1856" ht="16" customHeight="1" x14ac:dyDescent="0.25"/>
    <row r="1857" ht="16" customHeight="1" x14ac:dyDescent="0.25"/>
    <row r="1858" ht="16" customHeight="1" x14ac:dyDescent="0.25"/>
    <row r="1859" ht="16" customHeight="1" x14ac:dyDescent="0.25"/>
    <row r="1860" ht="16" customHeight="1" x14ac:dyDescent="0.25"/>
    <row r="1861" ht="16" customHeight="1" x14ac:dyDescent="0.25"/>
    <row r="1862" ht="16" customHeight="1" x14ac:dyDescent="0.25"/>
    <row r="1863" ht="16" customHeight="1" x14ac:dyDescent="0.25"/>
    <row r="1864" ht="16" customHeight="1" x14ac:dyDescent="0.25"/>
    <row r="1865" ht="16" customHeight="1" x14ac:dyDescent="0.25"/>
    <row r="1866" ht="16" customHeight="1" x14ac:dyDescent="0.25"/>
    <row r="1867" ht="16" customHeight="1" x14ac:dyDescent="0.25"/>
    <row r="1868" ht="16" customHeight="1" x14ac:dyDescent="0.25"/>
    <row r="1869" ht="16" customHeight="1" x14ac:dyDescent="0.25"/>
    <row r="1870" ht="16" customHeight="1" x14ac:dyDescent="0.25"/>
    <row r="1871" ht="16" customHeight="1" x14ac:dyDescent="0.25"/>
    <row r="1872" ht="16" customHeight="1" x14ac:dyDescent="0.25"/>
    <row r="1873" ht="16" customHeight="1" x14ac:dyDescent="0.25"/>
    <row r="1874" ht="16" customHeight="1" x14ac:dyDescent="0.25"/>
    <row r="1875" ht="16" customHeight="1" x14ac:dyDescent="0.25"/>
    <row r="1876" ht="16" customHeight="1" x14ac:dyDescent="0.25"/>
    <row r="1877" ht="16" customHeight="1" x14ac:dyDescent="0.25"/>
    <row r="1878" ht="16" customHeight="1" x14ac:dyDescent="0.25"/>
    <row r="1879" ht="16" customHeight="1" x14ac:dyDescent="0.25"/>
    <row r="1880" ht="16" customHeight="1" x14ac:dyDescent="0.25"/>
    <row r="1881" ht="16" customHeight="1" x14ac:dyDescent="0.25"/>
    <row r="1882" ht="16" customHeight="1" x14ac:dyDescent="0.25"/>
    <row r="1883" ht="16" customHeight="1" x14ac:dyDescent="0.25"/>
    <row r="1884" ht="16" customHeight="1" x14ac:dyDescent="0.25"/>
    <row r="1885" ht="16" customHeight="1" x14ac:dyDescent="0.25"/>
    <row r="1886" ht="16" customHeight="1" x14ac:dyDescent="0.25"/>
    <row r="1887" ht="16" customHeight="1" x14ac:dyDescent="0.25"/>
    <row r="1888" ht="16" customHeight="1" x14ac:dyDescent="0.25"/>
    <row r="1889" ht="16" customHeight="1" x14ac:dyDescent="0.25"/>
    <row r="1890" ht="16" customHeight="1" x14ac:dyDescent="0.25"/>
    <row r="1891" ht="16" customHeight="1" x14ac:dyDescent="0.25"/>
    <row r="1892" ht="16" customHeight="1" x14ac:dyDescent="0.25"/>
    <row r="1893" ht="16" customHeight="1" x14ac:dyDescent="0.25"/>
    <row r="1894" ht="16" customHeight="1" x14ac:dyDescent="0.25"/>
    <row r="1895" ht="16" customHeight="1" x14ac:dyDescent="0.25"/>
    <row r="1896" ht="16" customHeight="1" x14ac:dyDescent="0.25"/>
    <row r="1897" ht="16" customHeight="1" x14ac:dyDescent="0.25"/>
    <row r="1898" ht="16" customHeight="1" x14ac:dyDescent="0.25"/>
    <row r="1899" ht="16" customHeight="1" x14ac:dyDescent="0.25"/>
    <row r="1900" ht="16" customHeight="1" x14ac:dyDescent="0.25"/>
    <row r="1901" ht="16" customHeight="1" x14ac:dyDescent="0.25"/>
    <row r="1902" ht="16" customHeight="1" x14ac:dyDescent="0.25"/>
    <row r="1903" ht="16" customHeight="1" x14ac:dyDescent="0.25"/>
    <row r="1904" ht="16" customHeight="1" x14ac:dyDescent="0.25"/>
    <row r="1905" ht="16" customHeight="1" x14ac:dyDescent="0.25"/>
    <row r="1906" ht="16" customHeight="1" x14ac:dyDescent="0.25"/>
    <row r="1907" ht="16" customHeight="1" x14ac:dyDescent="0.25"/>
    <row r="1908" ht="16" customHeight="1" x14ac:dyDescent="0.25"/>
    <row r="1909" ht="16" customHeight="1" x14ac:dyDescent="0.25"/>
    <row r="1910" ht="16" customHeight="1" x14ac:dyDescent="0.25"/>
    <row r="1911" ht="16" customHeight="1" x14ac:dyDescent="0.25"/>
    <row r="1912" ht="16" customHeight="1" x14ac:dyDescent="0.25"/>
    <row r="1913" ht="16" customHeight="1" x14ac:dyDescent="0.25"/>
    <row r="1914" ht="16" customHeight="1" x14ac:dyDescent="0.25"/>
    <row r="1915" ht="16" customHeight="1" x14ac:dyDescent="0.25"/>
    <row r="1916" ht="16" customHeight="1" x14ac:dyDescent="0.25"/>
    <row r="1917" ht="16" customHeight="1" x14ac:dyDescent="0.25"/>
    <row r="1918" ht="16" customHeight="1" x14ac:dyDescent="0.25"/>
    <row r="1919" ht="16" customHeight="1" x14ac:dyDescent="0.25"/>
    <row r="1920" ht="16" customHeight="1" x14ac:dyDescent="0.25"/>
    <row r="1921" ht="16" customHeight="1" x14ac:dyDescent="0.25"/>
    <row r="1922" ht="16" customHeight="1" x14ac:dyDescent="0.25"/>
    <row r="1923" ht="16" customHeight="1" x14ac:dyDescent="0.25"/>
    <row r="1924" ht="16" customHeight="1" x14ac:dyDescent="0.25"/>
    <row r="1925" ht="16" customHeight="1" x14ac:dyDescent="0.25"/>
    <row r="1926" ht="16" customHeight="1" x14ac:dyDescent="0.25"/>
    <row r="1927" ht="16" customHeight="1" x14ac:dyDescent="0.25"/>
    <row r="1928" ht="16" customHeight="1" x14ac:dyDescent="0.25"/>
    <row r="1929" ht="16" customHeight="1" x14ac:dyDescent="0.25"/>
    <row r="1930" ht="16" customHeight="1" x14ac:dyDescent="0.25"/>
    <row r="1931" ht="16" customHeight="1" x14ac:dyDescent="0.25"/>
    <row r="1932" ht="16" customHeight="1" x14ac:dyDescent="0.25"/>
    <row r="1933" ht="16" customHeight="1" x14ac:dyDescent="0.25"/>
    <row r="1934" ht="16" customHeight="1" x14ac:dyDescent="0.25"/>
    <row r="1935" ht="16" customHeight="1" x14ac:dyDescent="0.25"/>
    <row r="1936" ht="16" customHeight="1" x14ac:dyDescent="0.25"/>
    <row r="1937" ht="16" customHeight="1" x14ac:dyDescent="0.25"/>
    <row r="1938" ht="16" customHeight="1" x14ac:dyDescent="0.25"/>
    <row r="1939" ht="16" customHeight="1" x14ac:dyDescent="0.25"/>
    <row r="1940" ht="16" customHeight="1" x14ac:dyDescent="0.25"/>
    <row r="1941" ht="16" customHeight="1" x14ac:dyDescent="0.25"/>
    <row r="1942" ht="16" customHeight="1" x14ac:dyDescent="0.25"/>
    <row r="1943" ht="16" customHeight="1" x14ac:dyDescent="0.25"/>
    <row r="1944" ht="16" customHeight="1" x14ac:dyDescent="0.25"/>
    <row r="1945" ht="16" customHeight="1" x14ac:dyDescent="0.25"/>
    <row r="1946" ht="16" customHeight="1" x14ac:dyDescent="0.25"/>
    <row r="1947" ht="16" customHeight="1" x14ac:dyDescent="0.25"/>
    <row r="1948" ht="16" customHeight="1" x14ac:dyDescent="0.25"/>
    <row r="1949" ht="16" customHeight="1" x14ac:dyDescent="0.25"/>
    <row r="1950" ht="16" customHeight="1" x14ac:dyDescent="0.25"/>
    <row r="1951" ht="16" customHeight="1" x14ac:dyDescent="0.25"/>
    <row r="1952" ht="16" customHeight="1" x14ac:dyDescent="0.25"/>
    <row r="1953" ht="16" customHeight="1" x14ac:dyDescent="0.25"/>
    <row r="1954" ht="16" customHeight="1" x14ac:dyDescent="0.25"/>
    <row r="1955" ht="16" customHeight="1" x14ac:dyDescent="0.25"/>
    <row r="1956" ht="16" customHeight="1" x14ac:dyDescent="0.25"/>
    <row r="1957" ht="16" customHeight="1" x14ac:dyDescent="0.25"/>
    <row r="1958" ht="16" customHeight="1" x14ac:dyDescent="0.25"/>
    <row r="1959" ht="16" customHeight="1" x14ac:dyDescent="0.25"/>
    <row r="1960" ht="16" customHeight="1" x14ac:dyDescent="0.25"/>
    <row r="1961" ht="16" customHeight="1" x14ac:dyDescent="0.25"/>
    <row r="1962" ht="16" customHeight="1" x14ac:dyDescent="0.25"/>
    <row r="1963" ht="16" customHeight="1" x14ac:dyDescent="0.25"/>
    <row r="1964" ht="16" customHeight="1" x14ac:dyDescent="0.25"/>
    <row r="1965" ht="16" customHeight="1" x14ac:dyDescent="0.25"/>
    <row r="1966" ht="16" customHeight="1" x14ac:dyDescent="0.25"/>
    <row r="1967" ht="16" customHeight="1" x14ac:dyDescent="0.25"/>
    <row r="1968" ht="16" customHeight="1" x14ac:dyDescent="0.25"/>
    <row r="1969" ht="16" customHeight="1" x14ac:dyDescent="0.25"/>
    <row r="1970" ht="16" customHeight="1" x14ac:dyDescent="0.25"/>
    <row r="1971" ht="16" customHeight="1" x14ac:dyDescent="0.25"/>
    <row r="1972" ht="16" customHeight="1" x14ac:dyDescent="0.25"/>
    <row r="1973" ht="16" customHeight="1" x14ac:dyDescent="0.25"/>
    <row r="1974" ht="16" customHeight="1" x14ac:dyDescent="0.25"/>
    <row r="1975" ht="16" customHeight="1" x14ac:dyDescent="0.25"/>
    <row r="1976" ht="16" customHeight="1" x14ac:dyDescent="0.25"/>
    <row r="1977" ht="16" customHeight="1" x14ac:dyDescent="0.25"/>
    <row r="1978" ht="16" customHeight="1" x14ac:dyDescent="0.25"/>
    <row r="1979" ht="16" customHeight="1" x14ac:dyDescent="0.25"/>
    <row r="1980" ht="16" customHeight="1" x14ac:dyDescent="0.25"/>
    <row r="1981" ht="16" customHeight="1" x14ac:dyDescent="0.25"/>
    <row r="1982" ht="16" customHeight="1" x14ac:dyDescent="0.25"/>
    <row r="1983" ht="16" customHeight="1" x14ac:dyDescent="0.25"/>
    <row r="1984" ht="16" customHeight="1" x14ac:dyDescent="0.25"/>
    <row r="1985" ht="16" customHeight="1" x14ac:dyDescent="0.25"/>
    <row r="1986" ht="16" customHeight="1" x14ac:dyDescent="0.25"/>
    <row r="1987" ht="16" customHeight="1" x14ac:dyDescent="0.25"/>
    <row r="1988" ht="16" customHeight="1" x14ac:dyDescent="0.25"/>
    <row r="1989" ht="16" customHeight="1" x14ac:dyDescent="0.25"/>
    <row r="1990" ht="16" customHeight="1" x14ac:dyDescent="0.25"/>
    <row r="1991" ht="16" customHeight="1" x14ac:dyDescent="0.25"/>
    <row r="1992" ht="16" customHeight="1" x14ac:dyDescent="0.25"/>
    <row r="1993" ht="16" customHeight="1" x14ac:dyDescent="0.25"/>
    <row r="1994" ht="16" customHeight="1" x14ac:dyDescent="0.25"/>
    <row r="1995" ht="16" customHeight="1" x14ac:dyDescent="0.25"/>
  </sheetData>
  <conditionalFormatting sqref="K7:P27">
    <cfRule type="cellIs" dxfId="13" priority="1" operator="equal">
      <formula>0</formula>
    </cfRule>
    <cfRule type="cellIs" dxfId="12" priority="6" operator="lessThan">
      <formula>0</formula>
    </cfRule>
    <cfRule type="cellIs" dxfId="11" priority="7" operator="greaterThan">
      <formula>0</formula>
    </cfRule>
  </conditionalFormatting>
  <conditionalFormatting sqref="Y7:Y27 AA7:AA27">
    <cfRule type="containsText" dxfId="10" priority="2" operator="containsText" text="N/A">
      <formula>NOT(ISERROR(SEARCH("N/A",Y7)))</formula>
    </cfRule>
    <cfRule type="cellIs" dxfId="9" priority="3" operator="equal">
      <formula>0</formula>
    </cfRule>
    <cfRule type="cellIs" dxfId="8" priority="4" operator="greaterThan">
      <formula>0</formula>
    </cfRule>
    <cfRule type="cellIs" dxfId="7" priority="5" operator="lessThan">
      <formula>0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Line="0" autoPict="0" macro="[0]!GetData">
                <anchor moveWithCells="1" sizeWithCells="1">
                  <from>
                    <xdr:col>7</xdr:col>
                    <xdr:colOff>450850</xdr:colOff>
                    <xdr:row>2</xdr:row>
                    <xdr:rowOff>76200</xdr:rowOff>
                  </from>
                  <to>
                    <xdr:col>12</xdr:col>
                    <xdr:colOff>0</xdr:colOff>
                    <xdr:row>3</xdr:row>
                    <xdr:rowOff>374650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35" workbookViewId="0">
      <selection activeCell="O11" sqref="O11"/>
    </sheetView>
  </sheetViews>
  <sheetFormatPr defaultColWidth="11.453125" defaultRowHeight="12.5" x14ac:dyDescent="0.25"/>
  <sheetData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52"/>
  <sheetViews>
    <sheetView workbookViewId="0">
      <selection activeCell="A3" sqref="A3:Y52"/>
    </sheetView>
  </sheetViews>
  <sheetFormatPr defaultRowHeight="12.5" x14ac:dyDescent="0.25"/>
  <cols>
    <col min="1" max="1" width="23.26953125" bestFit="1" customWidth="1" collapsed="1"/>
    <col min="5" max="5" width="15.453125" bestFit="1" customWidth="1" collapsed="1"/>
  </cols>
  <sheetData>
    <row r="1" spans="1:25" ht="15.5" x14ac:dyDescent="0.35">
      <c r="A1" s="25" t="s">
        <v>14</v>
      </c>
      <c r="B1" s="24" t="s">
        <v>2</v>
      </c>
      <c r="C1" s="25" t="s">
        <v>15</v>
      </c>
      <c r="D1" s="26" t="s">
        <v>5</v>
      </c>
      <c r="E1" s="26" t="s">
        <v>165</v>
      </c>
      <c r="F1" s="26" t="s">
        <v>6</v>
      </c>
      <c r="G1" s="26" t="s">
        <v>7</v>
      </c>
      <c r="H1" s="26" t="s">
        <v>8</v>
      </c>
      <c r="I1" s="27" t="s">
        <v>9</v>
      </c>
      <c r="J1" s="27" t="s">
        <v>18</v>
      </c>
      <c r="K1" s="27" t="s">
        <v>168</v>
      </c>
      <c r="L1" s="27" t="s">
        <v>169</v>
      </c>
      <c r="M1" s="27" t="s">
        <v>166</v>
      </c>
      <c r="N1" s="27" t="s">
        <v>167</v>
      </c>
      <c r="O1" s="27" t="s">
        <v>17</v>
      </c>
      <c r="P1" s="83" t="s">
        <v>10</v>
      </c>
      <c r="Q1" s="26" t="s">
        <v>11</v>
      </c>
      <c r="R1" s="26" t="s">
        <v>12</v>
      </c>
      <c r="S1" s="26" t="s">
        <v>170</v>
      </c>
      <c r="T1" s="26" t="s">
        <v>171</v>
      </c>
      <c r="U1" s="26" t="s">
        <v>172</v>
      </c>
      <c r="V1" s="84" t="s">
        <v>24</v>
      </c>
      <c r="W1" s="85" t="s">
        <v>13</v>
      </c>
      <c r="X1" s="84" t="s">
        <v>25</v>
      </c>
      <c r="Y1" s="100" t="s">
        <v>13</v>
      </c>
    </row>
    <row r="2" spans="1:25" ht="13" thickBot="1" x14ac:dyDescent="0.3">
      <c r="A2" s="29"/>
      <c r="B2" s="30"/>
      <c r="C2" s="29"/>
      <c r="D2" s="29"/>
      <c r="E2" s="29"/>
      <c r="F2" s="31"/>
      <c r="G2" s="32"/>
      <c r="H2" s="32"/>
      <c r="I2" s="33"/>
      <c r="J2" s="28"/>
      <c r="K2" s="28"/>
      <c r="L2" s="28"/>
      <c r="M2" s="28"/>
      <c r="N2" s="28"/>
      <c r="O2" s="28"/>
      <c r="P2" s="34"/>
      <c r="Q2" s="35"/>
      <c r="R2" s="35"/>
      <c r="S2" s="35"/>
      <c r="T2" s="35"/>
      <c r="U2" s="35"/>
      <c r="V2" s="36"/>
      <c r="W2" s="37"/>
      <c r="X2" s="36"/>
      <c r="Y2" s="37"/>
    </row>
    <row r="3" spans="1:25" ht="13" thickTop="1" x14ac:dyDescent="0.25">
      <c r="A3" s="3" t="s">
        <v>101</v>
      </c>
      <c r="B3" s="91">
        <v>42640</v>
      </c>
      <c r="C3" s="3" t="s">
        <v>26</v>
      </c>
      <c r="D3" s="3">
        <v>3.52</v>
      </c>
      <c r="E3" s="3">
        <v>1768373000</v>
      </c>
      <c r="F3" s="3">
        <v>3.56</v>
      </c>
      <c r="G3" s="2">
        <v>3.58</v>
      </c>
      <c r="H3" s="4">
        <v>3.49</v>
      </c>
      <c r="I3" s="1">
        <v>-0.04</v>
      </c>
      <c r="J3" s="6">
        <v>-1.12E-2</v>
      </c>
      <c r="K3" s="6">
        <v>-0.38390000000000002</v>
      </c>
      <c r="L3" s="6">
        <v>0.43090000000000001</v>
      </c>
      <c r="M3" s="89">
        <v>2.46</v>
      </c>
      <c r="N3" s="89">
        <v>5.71</v>
      </c>
      <c r="O3" s="6" t="s">
        <v>102</v>
      </c>
      <c r="P3" s="9" t="s">
        <v>3</v>
      </c>
      <c r="Q3" s="3" t="s">
        <v>3</v>
      </c>
      <c r="R3" s="3">
        <v>0</v>
      </c>
      <c r="S3" s="90">
        <v>-2.04</v>
      </c>
      <c r="T3" s="90" t="s">
        <v>156</v>
      </c>
      <c r="U3" s="90" t="s">
        <v>3</v>
      </c>
      <c r="V3" s="10">
        <v>4.2300000000000004</v>
      </c>
      <c r="W3" s="6">
        <v>-0.1678</v>
      </c>
      <c r="X3" s="10">
        <v>4.34</v>
      </c>
      <c r="Y3" s="98">
        <v>-0.1888</v>
      </c>
    </row>
    <row r="4" spans="1:25" x14ac:dyDescent="0.25">
      <c r="A4" s="92" t="s">
        <v>63</v>
      </c>
      <c r="B4" s="50">
        <v>42640</v>
      </c>
      <c r="C4" s="53" t="s">
        <v>26</v>
      </c>
      <c r="D4" s="54">
        <v>2.75</v>
      </c>
      <c r="E4" s="54">
        <v>1684994000</v>
      </c>
      <c r="F4" s="54">
        <v>2.77</v>
      </c>
      <c r="G4" s="54">
        <v>2.78</v>
      </c>
      <c r="H4" s="54">
        <v>2.74</v>
      </c>
      <c r="I4" s="55">
        <v>-0.06</v>
      </c>
      <c r="J4" s="56">
        <v>-2.1399999999999999E-2</v>
      </c>
      <c r="K4" s="56">
        <v>-0.33660000000000001</v>
      </c>
      <c r="L4" s="56">
        <v>3.3799999999999997E-2</v>
      </c>
      <c r="M4" s="88">
        <v>2.66</v>
      </c>
      <c r="N4" s="88">
        <v>4.1399999999999997</v>
      </c>
      <c r="O4" s="60" t="s">
        <v>64</v>
      </c>
      <c r="P4" s="57">
        <v>16.37</v>
      </c>
      <c r="Q4" s="58" t="s">
        <v>3</v>
      </c>
      <c r="R4" s="58">
        <v>0</v>
      </c>
      <c r="S4" s="58">
        <v>0.17</v>
      </c>
      <c r="T4" s="58" t="s">
        <v>140</v>
      </c>
      <c r="U4" s="58" t="s">
        <v>3</v>
      </c>
      <c r="V4" s="61">
        <v>2.81</v>
      </c>
      <c r="W4" s="60">
        <v>-2.06E-2</v>
      </c>
      <c r="X4" s="61">
        <v>3.05</v>
      </c>
      <c r="Y4" s="60">
        <v>-9.7000000000000003E-2</v>
      </c>
    </row>
    <row r="5" spans="1:25" x14ac:dyDescent="0.25">
      <c r="A5" s="93" t="s">
        <v>85</v>
      </c>
      <c r="B5" s="91">
        <v>42640</v>
      </c>
      <c r="C5" s="3" t="s">
        <v>26</v>
      </c>
      <c r="D5" s="3">
        <v>9.3699999999999992</v>
      </c>
      <c r="E5" s="3">
        <v>1366246000</v>
      </c>
      <c r="F5" s="3">
        <v>9.51</v>
      </c>
      <c r="G5" s="2">
        <v>9.5500000000000007</v>
      </c>
      <c r="H5" s="4">
        <v>9.36</v>
      </c>
      <c r="I5" s="1">
        <v>-0.18</v>
      </c>
      <c r="J5" s="6">
        <v>-1.8800000000000001E-2</v>
      </c>
      <c r="K5" s="6">
        <v>-0.32179999999999997</v>
      </c>
      <c r="L5" s="6">
        <v>1.1000000000000001E-3</v>
      </c>
      <c r="M5" s="89">
        <v>9.36</v>
      </c>
      <c r="N5" s="89">
        <v>13.81</v>
      </c>
      <c r="O5" s="96" t="s">
        <v>86</v>
      </c>
      <c r="P5" s="9">
        <v>27.89</v>
      </c>
      <c r="Q5" s="3" t="s">
        <v>3</v>
      </c>
      <c r="R5" s="3">
        <v>0</v>
      </c>
      <c r="S5" s="90">
        <v>0.34</v>
      </c>
      <c r="T5" s="90" t="s">
        <v>149</v>
      </c>
      <c r="U5" s="90" t="s">
        <v>3</v>
      </c>
      <c r="V5" s="97">
        <v>10.050000000000001</v>
      </c>
      <c r="W5" s="6">
        <v>-6.7299999999999999E-2</v>
      </c>
      <c r="X5" s="10">
        <v>10.9</v>
      </c>
      <c r="Y5" s="99">
        <v>-0.1404</v>
      </c>
    </row>
    <row r="6" spans="1:25" ht="18.5" x14ac:dyDescent="0.45">
      <c r="A6" s="94" t="s">
        <v>71</v>
      </c>
      <c r="B6" s="50">
        <v>42640</v>
      </c>
      <c r="C6" s="4" t="s">
        <v>26</v>
      </c>
      <c r="D6" s="8">
        <v>2.41</v>
      </c>
      <c r="E6" s="8">
        <v>2674632000</v>
      </c>
      <c r="F6" s="8">
        <v>2.48</v>
      </c>
      <c r="G6" s="8">
        <v>2.48</v>
      </c>
      <c r="H6" s="8">
        <v>2.4</v>
      </c>
      <c r="I6" s="11">
        <v>-0.1</v>
      </c>
      <c r="J6" s="6">
        <v>-3.9800000000000002E-2</v>
      </c>
      <c r="K6" s="6">
        <v>-0.27410000000000001</v>
      </c>
      <c r="L6" s="6">
        <v>0.1699</v>
      </c>
      <c r="M6" s="89">
        <v>2.06</v>
      </c>
      <c r="N6" s="89">
        <v>3.32</v>
      </c>
      <c r="O6" s="96" t="s">
        <v>72</v>
      </c>
      <c r="P6" s="9">
        <v>15.86</v>
      </c>
      <c r="Q6" s="3" t="s">
        <v>3</v>
      </c>
      <c r="R6" s="3">
        <v>0</v>
      </c>
      <c r="S6" s="90">
        <v>0.15</v>
      </c>
      <c r="T6" s="90" t="s">
        <v>144</v>
      </c>
      <c r="U6" s="90" t="s">
        <v>3</v>
      </c>
      <c r="V6" s="97">
        <v>2.72</v>
      </c>
      <c r="W6" s="6">
        <v>-0.1137</v>
      </c>
      <c r="X6" s="10">
        <v>2.94</v>
      </c>
      <c r="Y6" s="99">
        <v>-0.18160000000000001</v>
      </c>
    </row>
    <row r="7" spans="1:25" x14ac:dyDescent="0.25">
      <c r="A7" s="93" t="s">
        <v>83</v>
      </c>
      <c r="B7" s="91">
        <v>42640</v>
      </c>
      <c r="C7" s="3" t="s">
        <v>26</v>
      </c>
      <c r="D7" s="3">
        <v>3.17</v>
      </c>
      <c r="E7" s="3">
        <v>1898936000</v>
      </c>
      <c r="F7" s="3">
        <v>3.21</v>
      </c>
      <c r="G7" s="2">
        <v>3.22</v>
      </c>
      <c r="H7" s="4">
        <v>3.17</v>
      </c>
      <c r="I7" s="1">
        <v>-7.0000000000000007E-2</v>
      </c>
      <c r="J7" s="6">
        <v>-2.1600000000000001E-2</v>
      </c>
      <c r="K7" s="6">
        <v>-0.254</v>
      </c>
      <c r="L7" s="6">
        <v>0.22869999999999999</v>
      </c>
      <c r="M7" s="89">
        <v>2.58</v>
      </c>
      <c r="N7" s="89">
        <v>4.25</v>
      </c>
      <c r="O7" s="96" t="s">
        <v>84</v>
      </c>
      <c r="P7" s="9">
        <v>6.42</v>
      </c>
      <c r="Q7" s="3" t="s">
        <v>3</v>
      </c>
      <c r="R7" s="3">
        <v>0</v>
      </c>
      <c r="S7" s="90">
        <v>0.49</v>
      </c>
      <c r="T7" s="90" t="s">
        <v>148</v>
      </c>
      <c r="U7" s="90" t="s">
        <v>3</v>
      </c>
      <c r="V7" s="97">
        <v>3.24</v>
      </c>
      <c r="W7" s="6">
        <v>-2.1100000000000001E-2</v>
      </c>
      <c r="X7" s="10">
        <v>3.38</v>
      </c>
      <c r="Y7" s="99">
        <v>-6.1100000000000002E-2</v>
      </c>
    </row>
    <row r="8" spans="1:25" x14ac:dyDescent="0.25">
      <c r="A8" s="93" t="s">
        <v>78</v>
      </c>
      <c r="B8" s="91">
        <v>42640</v>
      </c>
      <c r="C8" s="3" t="s">
        <v>26</v>
      </c>
      <c r="D8" s="3">
        <v>5.18</v>
      </c>
      <c r="E8" s="3">
        <v>1744867000</v>
      </c>
      <c r="F8" s="3">
        <v>5.15</v>
      </c>
      <c r="G8" s="2">
        <v>5.23</v>
      </c>
      <c r="H8" s="4">
        <v>5.0999999999999996</v>
      </c>
      <c r="I8" s="1">
        <v>0</v>
      </c>
      <c r="J8" s="6">
        <v>0</v>
      </c>
      <c r="K8" s="6">
        <v>-0.23599999999999999</v>
      </c>
      <c r="L8" s="6">
        <v>0.50580000000000003</v>
      </c>
      <c r="M8" s="89">
        <v>3.44</v>
      </c>
      <c r="N8" s="89">
        <v>6.78</v>
      </c>
      <c r="O8" s="96" t="s">
        <v>66</v>
      </c>
      <c r="P8" s="9" t="s">
        <v>3</v>
      </c>
      <c r="Q8" s="3" t="s">
        <v>3</v>
      </c>
      <c r="R8" s="3">
        <v>0</v>
      </c>
      <c r="S8" s="90">
        <v>-0.37</v>
      </c>
      <c r="T8" s="90" t="s">
        <v>145</v>
      </c>
      <c r="U8" s="90" t="s">
        <v>3</v>
      </c>
      <c r="V8" s="97">
        <v>5.3</v>
      </c>
      <c r="W8" s="6">
        <v>-2.3400000000000001E-2</v>
      </c>
      <c r="X8" s="10">
        <v>5.39</v>
      </c>
      <c r="Y8" s="99">
        <v>-3.8399999999999997E-2</v>
      </c>
    </row>
    <row r="9" spans="1:25" x14ac:dyDescent="0.25">
      <c r="A9" s="93" t="s">
        <v>81</v>
      </c>
      <c r="B9" s="91">
        <v>42640</v>
      </c>
      <c r="C9" s="3" t="s">
        <v>26</v>
      </c>
      <c r="D9" s="3">
        <v>6.53</v>
      </c>
      <c r="E9" s="3">
        <v>1169229000</v>
      </c>
      <c r="F9" s="3">
        <v>6.46</v>
      </c>
      <c r="G9" s="2">
        <v>6.55</v>
      </c>
      <c r="H9" s="4">
        <v>6.42</v>
      </c>
      <c r="I9" s="1">
        <v>0.05</v>
      </c>
      <c r="J9" s="6">
        <v>7.7000000000000002E-3</v>
      </c>
      <c r="K9" s="6">
        <v>-0.21890000000000001</v>
      </c>
      <c r="L9" s="6">
        <v>0.17449999999999999</v>
      </c>
      <c r="M9" s="89">
        <v>5.56</v>
      </c>
      <c r="N9" s="89">
        <v>8.36</v>
      </c>
      <c r="O9" s="96" t="s">
        <v>82</v>
      </c>
      <c r="P9" s="9" t="s">
        <v>3</v>
      </c>
      <c r="Q9" s="3" t="s">
        <v>3</v>
      </c>
      <c r="R9" s="3">
        <v>0</v>
      </c>
      <c r="S9" s="90">
        <v>-0.16</v>
      </c>
      <c r="T9" s="90" t="s">
        <v>147</v>
      </c>
      <c r="U9" s="90" t="s">
        <v>3</v>
      </c>
      <c r="V9" s="97">
        <v>6.87</v>
      </c>
      <c r="W9" s="6">
        <v>-4.9500000000000002E-2</v>
      </c>
      <c r="X9" s="10">
        <v>6.84</v>
      </c>
      <c r="Y9" s="99">
        <v>-4.5600000000000002E-2</v>
      </c>
    </row>
    <row r="10" spans="1:25" x14ac:dyDescent="0.25">
      <c r="A10" s="52" t="s">
        <v>40</v>
      </c>
      <c r="B10" s="50">
        <v>42640</v>
      </c>
      <c r="C10" s="53" t="s">
        <v>26</v>
      </c>
      <c r="D10" s="54">
        <v>4.57</v>
      </c>
      <c r="E10" s="54">
        <v>1878188000</v>
      </c>
      <c r="F10" s="54">
        <v>4.4800000000000004</v>
      </c>
      <c r="G10" s="54">
        <v>4.6100000000000003</v>
      </c>
      <c r="H10" s="54">
        <v>4.47</v>
      </c>
      <c r="I10" s="55">
        <v>0.03</v>
      </c>
      <c r="J10" s="56">
        <v>6.6E-3</v>
      </c>
      <c r="K10" s="56">
        <v>-0.1968</v>
      </c>
      <c r="L10" s="56">
        <v>0.36420000000000002</v>
      </c>
      <c r="M10" s="88">
        <v>3.35</v>
      </c>
      <c r="N10" s="88">
        <v>5.69</v>
      </c>
      <c r="O10" s="87" t="s">
        <v>41</v>
      </c>
      <c r="P10" s="57">
        <v>134.41</v>
      </c>
      <c r="Q10" s="58" t="s">
        <v>3</v>
      </c>
      <c r="R10" s="58">
        <v>0</v>
      </c>
      <c r="S10" s="58">
        <v>0.03</v>
      </c>
      <c r="T10" s="58" t="s">
        <v>129</v>
      </c>
      <c r="U10" s="58" t="s">
        <v>3</v>
      </c>
      <c r="V10" s="59">
        <v>4.57</v>
      </c>
      <c r="W10" s="60">
        <v>0</v>
      </c>
      <c r="X10" s="61">
        <v>4.51</v>
      </c>
      <c r="Y10" s="62">
        <v>1.2200000000000001E-2</v>
      </c>
    </row>
    <row r="11" spans="1:25" x14ac:dyDescent="0.25">
      <c r="A11" s="93" t="s">
        <v>120</v>
      </c>
      <c r="B11" s="91">
        <v>42640</v>
      </c>
      <c r="C11" s="3" t="s">
        <v>26</v>
      </c>
      <c r="D11" s="3">
        <v>22.52</v>
      </c>
      <c r="E11" s="3">
        <v>1274429000</v>
      </c>
      <c r="F11" s="3">
        <v>22.51</v>
      </c>
      <c r="G11" s="2">
        <v>22.72</v>
      </c>
      <c r="H11" s="4">
        <v>22.37</v>
      </c>
      <c r="I11" s="1">
        <v>-0.33</v>
      </c>
      <c r="J11" s="6">
        <v>-1.44E-2</v>
      </c>
      <c r="K11" s="6">
        <v>-0.1966</v>
      </c>
      <c r="L11" s="6">
        <v>0.1094</v>
      </c>
      <c r="M11" s="89">
        <v>20.3</v>
      </c>
      <c r="N11" s="89">
        <v>28.03</v>
      </c>
      <c r="O11" s="96" t="s">
        <v>121</v>
      </c>
      <c r="P11" s="9" t="s">
        <v>3</v>
      </c>
      <c r="Q11" s="3" t="s">
        <v>3</v>
      </c>
      <c r="R11" s="3">
        <v>0</v>
      </c>
      <c r="S11" s="90">
        <v>-0.98</v>
      </c>
      <c r="T11" s="90" t="s">
        <v>163</v>
      </c>
      <c r="U11" s="90" t="s">
        <v>3</v>
      </c>
      <c r="V11" s="97">
        <v>23.45</v>
      </c>
      <c r="W11" s="6">
        <v>-3.95E-2</v>
      </c>
      <c r="X11" s="10">
        <v>22.29</v>
      </c>
      <c r="Y11" s="99">
        <v>1.0200000000000001E-2</v>
      </c>
    </row>
    <row r="12" spans="1:25" x14ac:dyDescent="0.25">
      <c r="A12" s="93" t="s">
        <v>122</v>
      </c>
      <c r="B12" s="91">
        <v>42640</v>
      </c>
      <c r="C12" s="3" t="s">
        <v>26</v>
      </c>
      <c r="D12" s="3">
        <v>26.7</v>
      </c>
      <c r="E12" s="3">
        <v>727114000</v>
      </c>
      <c r="F12" s="3">
        <v>27</v>
      </c>
      <c r="G12" s="2">
        <v>27.05</v>
      </c>
      <c r="H12" s="4">
        <v>26.51</v>
      </c>
      <c r="I12" s="1">
        <v>-0.43</v>
      </c>
      <c r="J12" s="6">
        <v>-1.5800000000000002E-2</v>
      </c>
      <c r="K12" s="6">
        <v>-0.1817</v>
      </c>
      <c r="L12" s="6">
        <v>0.12089999999999999</v>
      </c>
      <c r="M12" s="89">
        <v>23.82</v>
      </c>
      <c r="N12" s="89">
        <v>32.630000000000003</v>
      </c>
      <c r="O12" s="96" t="s">
        <v>123</v>
      </c>
      <c r="P12" s="9" t="s">
        <v>3</v>
      </c>
      <c r="Q12" s="3" t="s">
        <v>3</v>
      </c>
      <c r="R12" s="3">
        <v>0</v>
      </c>
      <c r="S12" s="90">
        <v>-0.38</v>
      </c>
      <c r="T12" s="90" t="s">
        <v>164</v>
      </c>
      <c r="U12" s="90" t="s">
        <v>3</v>
      </c>
      <c r="V12" s="97">
        <v>28.02</v>
      </c>
      <c r="W12" s="6">
        <v>-4.7100000000000003E-2</v>
      </c>
      <c r="X12" s="10">
        <v>27.08</v>
      </c>
      <c r="Y12" s="99">
        <v>-1.3899999999999999E-2</v>
      </c>
    </row>
    <row r="13" spans="1:25" x14ac:dyDescent="0.25">
      <c r="A13" s="52" t="s">
        <v>27</v>
      </c>
      <c r="B13" s="50">
        <v>42640</v>
      </c>
      <c r="C13" s="53" t="s">
        <v>26</v>
      </c>
      <c r="D13" s="54">
        <v>21.5</v>
      </c>
      <c r="E13" s="54">
        <v>3205600000</v>
      </c>
      <c r="F13" s="54">
        <v>21.35</v>
      </c>
      <c r="G13" s="54">
        <v>21.52</v>
      </c>
      <c r="H13" s="54">
        <v>21.17</v>
      </c>
      <c r="I13" s="55">
        <v>-0.05</v>
      </c>
      <c r="J13" s="56">
        <v>-2.3E-3</v>
      </c>
      <c r="K13" s="56">
        <v>-0.16569999999999999</v>
      </c>
      <c r="L13" s="56">
        <v>0.5292</v>
      </c>
      <c r="M13" s="88">
        <v>14.06</v>
      </c>
      <c r="N13" s="88">
        <v>25.77</v>
      </c>
      <c r="O13" s="87" t="s">
        <v>42</v>
      </c>
      <c r="P13" s="57" t="s">
        <v>3</v>
      </c>
      <c r="Q13" s="58" t="s">
        <v>3</v>
      </c>
      <c r="R13" s="58">
        <v>0</v>
      </c>
      <c r="S13" s="58">
        <v>-1.2</v>
      </c>
      <c r="T13" s="58" t="s">
        <v>130</v>
      </c>
      <c r="U13" s="58" t="s">
        <v>3</v>
      </c>
      <c r="V13" s="59">
        <v>20.62</v>
      </c>
      <c r="W13" s="60">
        <v>4.2500000000000003E-2</v>
      </c>
      <c r="X13" s="61">
        <v>19.2</v>
      </c>
      <c r="Y13" s="62">
        <v>0.1198</v>
      </c>
    </row>
    <row r="14" spans="1:25" x14ac:dyDescent="0.25">
      <c r="A14" s="52" t="s">
        <v>28</v>
      </c>
      <c r="B14" s="50">
        <v>42640</v>
      </c>
      <c r="C14" s="53" t="s">
        <v>26</v>
      </c>
      <c r="D14" s="54">
        <v>17.68</v>
      </c>
      <c r="E14" s="54">
        <v>672809000</v>
      </c>
      <c r="F14" s="54">
        <v>17.54</v>
      </c>
      <c r="G14" s="54">
        <v>17.690000000000001</v>
      </c>
      <c r="H14" s="54">
        <v>17.420000000000002</v>
      </c>
      <c r="I14" s="55">
        <v>0.02</v>
      </c>
      <c r="J14" s="56">
        <v>1.1000000000000001E-3</v>
      </c>
      <c r="K14" s="56">
        <v>-0.15609999999999999</v>
      </c>
      <c r="L14" s="56">
        <v>0.16009999999999999</v>
      </c>
      <c r="M14" s="88">
        <v>15.24</v>
      </c>
      <c r="N14" s="88">
        <v>20.95</v>
      </c>
      <c r="O14" s="87" t="s">
        <v>29</v>
      </c>
      <c r="P14" s="57" t="s">
        <v>3</v>
      </c>
      <c r="Q14" s="58" t="s">
        <v>3</v>
      </c>
      <c r="R14" s="58">
        <v>0</v>
      </c>
      <c r="S14" s="58">
        <v>-0.61</v>
      </c>
      <c r="T14" s="58" t="s">
        <v>124</v>
      </c>
      <c r="U14" s="58" t="s">
        <v>3</v>
      </c>
      <c r="V14" s="59">
        <v>18.32</v>
      </c>
      <c r="W14" s="60">
        <v>-3.5200000000000002E-2</v>
      </c>
      <c r="X14" s="61">
        <v>18.78</v>
      </c>
      <c r="Y14" s="62">
        <v>-5.8700000000000002E-2</v>
      </c>
    </row>
    <row r="15" spans="1:25" x14ac:dyDescent="0.25">
      <c r="A15" s="93" t="s">
        <v>76</v>
      </c>
      <c r="B15" s="91">
        <v>42640</v>
      </c>
      <c r="C15" s="3" t="s">
        <v>26</v>
      </c>
      <c r="D15" s="3">
        <v>22.98</v>
      </c>
      <c r="E15" s="3">
        <v>764797000</v>
      </c>
      <c r="F15" s="3">
        <v>22.68</v>
      </c>
      <c r="G15" s="2">
        <v>23.14</v>
      </c>
      <c r="H15" s="4">
        <v>22.54</v>
      </c>
      <c r="I15" s="1">
        <v>0.47</v>
      </c>
      <c r="J15" s="6">
        <v>2.0899999999999998E-2</v>
      </c>
      <c r="K15" s="6">
        <v>-0.15509999999999999</v>
      </c>
      <c r="L15" s="6">
        <v>1.1456999999999999</v>
      </c>
      <c r="M15" s="89">
        <v>10.71</v>
      </c>
      <c r="N15" s="89">
        <v>27.2</v>
      </c>
      <c r="O15" s="96" t="s">
        <v>77</v>
      </c>
      <c r="P15" s="9">
        <v>53.44</v>
      </c>
      <c r="Q15" s="3" t="s">
        <v>3</v>
      </c>
      <c r="R15" s="3">
        <v>0</v>
      </c>
      <c r="S15" s="90">
        <v>0.43</v>
      </c>
      <c r="T15" s="90" t="s">
        <v>127</v>
      </c>
      <c r="U15" s="90" t="s">
        <v>3</v>
      </c>
      <c r="V15" s="97">
        <v>23</v>
      </c>
      <c r="W15" s="6">
        <v>-6.9999999999999999E-4</v>
      </c>
      <c r="X15" s="10">
        <v>21.31</v>
      </c>
      <c r="Y15" s="99">
        <v>7.8100000000000003E-2</v>
      </c>
    </row>
    <row r="16" spans="1:25" x14ac:dyDescent="0.25">
      <c r="A16" s="52" t="s">
        <v>45</v>
      </c>
      <c r="B16" s="50">
        <v>42640</v>
      </c>
      <c r="C16" s="53" t="s">
        <v>26</v>
      </c>
      <c r="D16" s="54">
        <v>72.7</v>
      </c>
      <c r="E16" s="54">
        <v>1704251000</v>
      </c>
      <c r="F16" s="54">
        <v>72.73</v>
      </c>
      <c r="G16" s="54">
        <v>72.94</v>
      </c>
      <c r="H16" s="54">
        <v>72.2</v>
      </c>
      <c r="I16" s="55">
        <v>-0.7</v>
      </c>
      <c r="J16" s="56">
        <v>-9.4999999999999998E-3</v>
      </c>
      <c r="K16" s="56">
        <v>-0.1532</v>
      </c>
      <c r="L16" s="56">
        <v>5.0299999999999997E-2</v>
      </c>
      <c r="M16" s="88">
        <v>69.22</v>
      </c>
      <c r="N16" s="88">
        <v>85.85</v>
      </c>
      <c r="O16" s="87" t="s">
        <v>46</v>
      </c>
      <c r="P16" s="57">
        <v>13.74</v>
      </c>
      <c r="Q16" s="58" t="s">
        <v>3</v>
      </c>
      <c r="R16" s="58">
        <v>0</v>
      </c>
      <c r="S16" s="58">
        <v>5.29</v>
      </c>
      <c r="T16" s="58">
        <v>0</v>
      </c>
      <c r="U16" s="58" t="s">
        <v>3</v>
      </c>
      <c r="V16" s="59">
        <v>73.23</v>
      </c>
      <c r="W16" s="60">
        <v>-7.3000000000000001E-3</v>
      </c>
      <c r="X16" s="61">
        <v>74.77</v>
      </c>
      <c r="Y16" s="62">
        <v>-2.7699999999999999E-2</v>
      </c>
    </row>
    <row r="17" spans="1:25" x14ac:dyDescent="0.25">
      <c r="A17" s="93" t="s">
        <v>79</v>
      </c>
      <c r="B17" s="91">
        <v>42640</v>
      </c>
      <c r="C17" s="3" t="s">
        <v>26</v>
      </c>
      <c r="D17" s="3">
        <v>14.7</v>
      </c>
      <c r="E17" s="3">
        <v>373245000</v>
      </c>
      <c r="F17" s="3">
        <v>14.7</v>
      </c>
      <c r="G17" s="2">
        <v>14.85</v>
      </c>
      <c r="H17" s="4">
        <v>14.54</v>
      </c>
      <c r="I17" s="1">
        <v>-0.08</v>
      </c>
      <c r="J17" s="6">
        <v>-5.4000000000000003E-3</v>
      </c>
      <c r="K17" s="6">
        <v>-0.14680000000000001</v>
      </c>
      <c r="L17" s="6">
        <v>0.22090000000000001</v>
      </c>
      <c r="M17" s="89">
        <v>12.04</v>
      </c>
      <c r="N17" s="89">
        <v>17.23</v>
      </c>
      <c r="O17" s="96" t="s">
        <v>80</v>
      </c>
      <c r="P17" s="9" t="s">
        <v>3</v>
      </c>
      <c r="Q17" s="3" t="s">
        <v>3</v>
      </c>
      <c r="R17" s="3">
        <v>0</v>
      </c>
      <c r="S17" s="90">
        <v>-3.62</v>
      </c>
      <c r="T17" s="90" t="s">
        <v>146</v>
      </c>
      <c r="U17" s="90" t="s">
        <v>3</v>
      </c>
      <c r="V17" s="97">
        <v>14.63</v>
      </c>
      <c r="W17" s="6">
        <v>4.7000000000000002E-3</v>
      </c>
      <c r="X17" s="10">
        <v>14.2</v>
      </c>
      <c r="Y17" s="99">
        <v>3.49E-2</v>
      </c>
    </row>
    <row r="18" spans="1:25" x14ac:dyDescent="0.25">
      <c r="A18" s="52" t="s">
        <v>16</v>
      </c>
      <c r="B18" s="91">
        <v>42640</v>
      </c>
      <c r="C18" s="3" t="s">
        <v>26</v>
      </c>
      <c r="D18" s="3">
        <v>27.98</v>
      </c>
      <c r="E18" s="3">
        <v>2570250000</v>
      </c>
      <c r="F18" s="3">
        <v>27.85</v>
      </c>
      <c r="G18" s="2">
        <v>28.03</v>
      </c>
      <c r="H18" s="4">
        <v>27.62</v>
      </c>
      <c r="I18" s="1">
        <v>-0.06</v>
      </c>
      <c r="J18" s="6">
        <v>-2.0999999999999999E-3</v>
      </c>
      <c r="K18" s="6">
        <v>-0.1459</v>
      </c>
      <c r="L18" s="6">
        <v>0.17460000000000001</v>
      </c>
      <c r="M18" s="89">
        <v>23.82</v>
      </c>
      <c r="N18" s="89">
        <v>32.76</v>
      </c>
      <c r="O18" s="96" t="s">
        <v>75</v>
      </c>
      <c r="P18" s="9">
        <v>62.88</v>
      </c>
      <c r="Q18" s="3" t="s">
        <v>3</v>
      </c>
      <c r="R18" s="3">
        <v>0</v>
      </c>
      <c r="S18" s="90">
        <v>0.44</v>
      </c>
      <c r="T18" s="90">
        <v>0</v>
      </c>
      <c r="U18" s="90" t="s">
        <v>3</v>
      </c>
      <c r="V18" s="97">
        <v>27.25</v>
      </c>
      <c r="W18" s="6">
        <v>2.6700000000000002E-2</v>
      </c>
      <c r="X18" s="10">
        <v>26.69</v>
      </c>
      <c r="Y18" s="99">
        <v>4.82E-2</v>
      </c>
    </row>
    <row r="19" spans="1:25" x14ac:dyDescent="0.25">
      <c r="A19" s="52" t="s">
        <v>49</v>
      </c>
      <c r="B19" s="50">
        <v>42640</v>
      </c>
      <c r="C19" s="53" t="s">
        <v>26</v>
      </c>
      <c r="D19" s="54">
        <v>10.31</v>
      </c>
      <c r="E19" s="54">
        <v>513841000</v>
      </c>
      <c r="F19" s="54">
        <v>10.29</v>
      </c>
      <c r="G19" s="54">
        <v>10.36</v>
      </c>
      <c r="H19" s="54">
        <v>10.25</v>
      </c>
      <c r="I19" s="55">
        <v>-0.14000000000000001</v>
      </c>
      <c r="J19" s="56">
        <v>-1.34E-2</v>
      </c>
      <c r="K19" s="56">
        <v>-0.13800000000000001</v>
      </c>
      <c r="L19" s="56">
        <v>0.1933</v>
      </c>
      <c r="M19" s="88">
        <v>8.64</v>
      </c>
      <c r="N19" s="88">
        <v>11.96</v>
      </c>
      <c r="O19" s="87" t="s">
        <v>50</v>
      </c>
      <c r="P19" s="57">
        <v>36.18</v>
      </c>
      <c r="Q19" s="58" t="s">
        <v>3</v>
      </c>
      <c r="R19" s="58">
        <v>0</v>
      </c>
      <c r="S19" s="58">
        <v>0.28000000000000003</v>
      </c>
      <c r="T19" s="58" t="s">
        <v>133</v>
      </c>
      <c r="U19" s="58" t="s">
        <v>3</v>
      </c>
      <c r="V19" s="59">
        <v>9.99</v>
      </c>
      <c r="W19" s="60">
        <v>3.1600000000000003E-2</v>
      </c>
      <c r="X19" s="61">
        <v>9.84</v>
      </c>
      <c r="Y19" s="62">
        <v>4.82E-2</v>
      </c>
    </row>
    <row r="20" spans="1:25" x14ac:dyDescent="0.25">
      <c r="A20" s="52" t="s">
        <v>53</v>
      </c>
      <c r="B20" s="50">
        <v>42640</v>
      </c>
      <c r="C20" s="53" t="s">
        <v>26</v>
      </c>
      <c r="D20" s="54">
        <v>33.75</v>
      </c>
      <c r="E20" s="54">
        <v>259379000</v>
      </c>
      <c r="F20" s="54">
        <v>33.380000000000003</v>
      </c>
      <c r="G20" s="54">
        <v>34.07</v>
      </c>
      <c r="H20" s="54">
        <v>33.369999999999997</v>
      </c>
      <c r="I20" s="55">
        <v>-0.18</v>
      </c>
      <c r="J20" s="56">
        <v>-5.3E-3</v>
      </c>
      <c r="K20" s="56">
        <v>-0.13189999999999999</v>
      </c>
      <c r="L20" s="56">
        <v>0.11749999999999999</v>
      </c>
      <c r="M20" s="88">
        <v>30.2</v>
      </c>
      <c r="N20" s="88">
        <v>38.880000000000003</v>
      </c>
      <c r="O20" s="87" t="s">
        <v>54</v>
      </c>
      <c r="P20" s="57">
        <v>19.45</v>
      </c>
      <c r="Q20" s="58" t="s">
        <v>3</v>
      </c>
      <c r="R20" s="58">
        <v>0</v>
      </c>
      <c r="S20" s="58">
        <v>1.74</v>
      </c>
      <c r="T20" s="58" t="s">
        <v>135</v>
      </c>
      <c r="U20" s="58" t="s">
        <v>3</v>
      </c>
      <c r="V20" s="59">
        <v>33.67</v>
      </c>
      <c r="W20" s="60">
        <v>2.5000000000000001E-3</v>
      </c>
      <c r="X20" s="61">
        <v>33.090000000000003</v>
      </c>
      <c r="Y20" s="62">
        <v>0.02</v>
      </c>
    </row>
    <row r="21" spans="1:25" x14ac:dyDescent="0.25">
      <c r="A21" s="93" t="s">
        <v>108</v>
      </c>
      <c r="B21" s="91">
        <v>42640</v>
      </c>
      <c r="C21" s="3" t="s">
        <v>26</v>
      </c>
      <c r="D21" s="3">
        <v>5.1100000000000003</v>
      </c>
      <c r="E21" s="3">
        <v>12120297000</v>
      </c>
      <c r="F21" s="3">
        <v>5.16</v>
      </c>
      <c r="G21" s="2">
        <v>5.17</v>
      </c>
      <c r="H21" s="4">
        <v>5.0999999999999996</v>
      </c>
      <c r="I21" s="1">
        <v>-0.08</v>
      </c>
      <c r="J21" s="6">
        <v>-1.54E-2</v>
      </c>
      <c r="K21" s="6">
        <v>-0.128</v>
      </c>
      <c r="L21" s="6">
        <v>3.8600000000000002E-2</v>
      </c>
      <c r="M21" s="89">
        <v>4.92</v>
      </c>
      <c r="N21" s="89">
        <v>5.86</v>
      </c>
      <c r="O21" s="96" t="s">
        <v>109</v>
      </c>
      <c r="P21" s="9">
        <v>10.8</v>
      </c>
      <c r="Q21" s="3" t="s">
        <v>3</v>
      </c>
      <c r="R21" s="3">
        <v>0</v>
      </c>
      <c r="S21" s="90">
        <v>0.47</v>
      </c>
      <c r="T21" s="90" t="s">
        <v>159</v>
      </c>
      <c r="U21" s="90" t="s">
        <v>3</v>
      </c>
      <c r="V21" s="97">
        <v>5.26</v>
      </c>
      <c r="W21" s="6">
        <v>-2.8000000000000001E-2</v>
      </c>
      <c r="X21" s="10">
        <v>5.43</v>
      </c>
      <c r="Y21" s="99">
        <v>-5.9200000000000003E-2</v>
      </c>
    </row>
    <row r="22" spans="1:25" x14ac:dyDescent="0.25">
      <c r="A22" s="52" t="s">
        <v>43</v>
      </c>
      <c r="B22" s="50">
        <v>42640</v>
      </c>
      <c r="C22" s="53" t="s">
        <v>26</v>
      </c>
      <c r="D22" s="54">
        <v>11.95</v>
      </c>
      <c r="E22" s="54">
        <v>1585009000</v>
      </c>
      <c r="F22" s="54">
        <v>11.85</v>
      </c>
      <c r="G22" s="54">
        <v>11.99</v>
      </c>
      <c r="H22" s="54">
        <v>11.83</v>
      </c>
      <c r="I22" s="55">
        <v>-7.0000000000000007E-2</v>
      </c>
      <c r="J22" s="56">
        <v>-5.7999999999999996E-3</v>
      </c>
      <c r="K22" s="56">
        <v>-0.1236</v>
      </c>
      <c r="L22" s="56">
        <v>0.24479999999999999</v>
      </c>
      <c r="M22" s="88">
        <v>9.6</v>
      </c>
      <c r="N22" s="88">
        <v>13.64</v>
      </c>
      <c r="O22" s="87" t="s">
        <v>44</v>
      </c>
      <c r="P22" s="57">
        <v>32.21</v>
      </c>
      <c r="Q22" s="58" t="s">
        <v>3</v>
      </c>
      <c r="R22" s="58">
        <v>0</v>
      </c>
      <c r="S22" s="58">
        <v>0.37</v>
      </c>
      <c r="T22" s="58" t="s">
        <v>131</v>
      </c>
      <c r="U22" s="58" t="s">
        <v>3</v>
      </c>
      <c r="V22" s="59">
        <v>12.4</v>
      </c>
      <c r="W22" s="60">
        <v>-3.6200000000000003E-2</v>
      </c>
      <c r="X22" s="61">
        <v>12.55</v>
      </c>
      <c r="Y22" s="62">
        <v>-4.7800000000000002E-2</v>
      </c>
    </row>
    <row r="23" spans="1:25" x14ac:dyDescent="0.25">
      <c r="A23" s="52" t="s">
        <v>32</v>
      </c>
      <c r="B23" s="50">
        <v>42640</v>
      </c>
      <c r="C23" s="53" t="s">
        <v>26</v>
      </c>
      <c r="D23" s="54">
        <v>5.27</v>
      </c>
      <c r="E23" s="54">
        <v>2905473000</v>
      </c>
      <c r="F23" s="54">
        <v>5.29</v>
      </c>
      <c r="G23" s="54">
        <v>5.32</v>
      </c>
      <c r="H23" s="54">
        <v>5.21</v>
      </c>
      <c r="I23" s="55">
        <v>-0.05</v>
      </c>
      <c r="J23" s="56">
        <v>-9.4000000000000004E-3</v>
      </c>
      <c r="K23" s="56">
        <v>-0.1217</v>
      </c>
      <c r="L23" s="56">
        <v>7.7700000000000005E-2</v>
      </c>
      <c r="M23" s="88">
        <v>4.8899999999999997</v>
      </c>
      <c r="N23" s="88">
        <v>6</v>
      </c>
      <c r="O23" s="87" t="s">
        <v>33</v>
      </c>
      <c r="P23" s="57">
        <v>15.68</v>
      </c>
      <c r="Q23" s="58" t="s">
        <v>3</v>
      </c>
      <c r="R23" s="58">
        <v>0</v>
      </c>
      <c r="S23" s="58">
        <v>0.34</v>
      </c>
      <c r="T23" s="58" t="s">
        <v>126</v>
      </c>
      <c r="U23" s="58" t="s">
        <v>3</v>
      </c>
      <c r="V23" s="59">
        <v>5.46</v>
      </c>
      <c r="W23" s="60">
        <v>-3.5099999999999999E-2</v>
      </c>
      <c r="X23" s="61">
        <v>5.57</v>
      </c>
      <c r="Y23" s="62">
        <v>-5.3699999999999998E-2</v>
      </c>
    </row>
    <row r="24" spans="1:25" x14ac:dyDescent="0.25">
      <c r="A24" s="52" t="s">
        <v>61</v>
      </c>
      <c r="B24" s="50">
        <v>42640</v>
      </c>
      <c r="C24" s="53" t="s">
        <v>26</v>
      </c>
      <c r="D24" s="54">
        <v>5.44</v>
      </c>
      <c r="E24" s="54">
        <v>2324532000</v>
      </c>
      <c r="F24" s="54">
        <v>5.43</v>
      </c>
      <c r="G24" s="54">
        <v>5.47</v>
      </c>
      <c r="H24" s="54">
        <v>5.41</v>
      </c>
      <c r="I24" s="55">
        <v>-0.02</v>
      </c>
      <c r="J24" s="56">
        <v>-3.7000000000000002E-3</v>
      </c>
      <c r="K24" s="56">
        <v>-0.1183</v>
      </c>
      <c r="L24" s="56">
        <v>0.1525</v>
      </c>
      <c r="M24" s="88">
        <v>4.72</v>
      </c>
      <c r="N24" s="88">
        <v>6.17</v>
      </c>
      <c r="O24" s="87" t="s">
        <v>62</v>
      </c>
      <c r="P24" s="57">
        <v>21.5</v>
      </c>
      <c r="Q24" s="58" t="s">
        <v>3</v>
      </c>
      <c r="R24" s="58">
        <v>0</v>
      </c>
      <c r="S24" s="58">
        <v>0.25</v>
      </c>
      <c r="T24" s="58" t="s">
        <v>139</v>
      </c>
      <c r="U24" s="58" t="s">
        <v>3</v>
      </c>
      <c r="V24" s="59">
        <v>5.62</v>
      </c>
      <c r="W24" s="60">
        <v>-3.2199999999999999E-2</v>
      </c>
      <c r="X24" s="61">
        <v>5.68</v>
      </c>
      <c r="Y24" s="62">
        <v>-4.2700000000000002E-2</v>
      </c>
    </row>
    <row r="25" spans="1:25" x14ac:dyDescent="0.25">
      <c r="A25" s="52" t="s">
        <v>65</v>
      </c>
      <c r="B25" s="50">
        <v>42640</v>
      </c>
      <c r="C25" s="53" t="s">
        <v>26</v>
      </c>
      <c r="D25" s="54">
        <v>20.37</v>
      </c>
      <c r="E25" s="54">
        <v>443338000</v>
      </c>
      <c r="F25" s="54">
        <v>20.27</v>
      </c>
      <c r="G25" s="54">
        <v>20.5</v>
      </c>
      <c r="H25" s="54">
        <v>20.22</v>
      </c>
      <c r="I25" s="55">
        <v>-0.09</v>
      </c>
      <c r="J25" s="56">
        <v>-4.4000000000000003E-3</v>
      </c>
      <c r="K25" s="56">
        <v>-0.1178</v>
      </c>
      <c r="L25" s="56">
        <v>0.43049999999999999</v>
      </c>
      <c r="M25" s="88">
        <v>14.24</v>
      </c>
      <c r="N25" s="88">
        <v>23.09</v>
      </c>
      <c r="O25" s="87" t="s">
        <v>66</v>
      </c>
      <c r="P25" s="57">
        <v>33.39</v>
      </c>
      <c r="Q25" s="58" t="s">
        <v>3</v>
      </c>
      <c r="R25" s="58">
        <v>0</v>
      </c>
      <c r="S25" s="58">
        <v>0.61</v>
      </c>
      <c r="T25" s="58" t="s">
        <v>141</v>
      </c>
      <c r="U25" s="58" t="s">
        <v>3</v>
      </c>
      <c r="V25" s="59">
        <v>21.41</v>
      </c>
      <c r="W25" s="60">
        <v>-4.87E-2</v>
      </c>
      <c r="X25" s="61">
        <v>20.260000000000002</v>
      </c>
      <c r="Y25" s="62">
        <v>5.5999999999999999E-3</v>
      </c>
    </row>
    <row r="26" spans="1:25" x14ac:dyDescent="0.25">
      <c r="A26" s="92" t="s">
        <v>36</v>
      </c>
      <c r="B26" s="50">
        <v>42640</v>
      </c>
      <c r="C26" s="53" t="s">
        <v>26</v>
      </c>
      <c r="D26" s="54">
        <v>8.6999999999999993</v>
      </c>
      <c r="E26" s="54">
        <v>1112814000</v>
      </c>
      <c r="F26" s="54">
        <v>8.6300000000000008</v>
      </c>
      <c r="G26" s="54">
        <v>8.7200000000000006</v>
      </c>
      <c r="H26" s="54">
        <v>8.6199999999999992</v>
      </c>
      <c r="I26" s="55">
        <v>0.01</v>
      </c>
      <c r="J26" s="56">
        <v>1.1999999999999999E-3</v>
      </c>
      <c r="K26" s="56">
        <v>-0.1168</v>
      </c>
      <c r="L26" s="56">
        <v>8.6099999999999996E-2</v>
      </c>
      <c r="M26" s="88">
        <v>8.01</v>
      </c>
      <c r="N26" s="88">
        <v>9.85</v>
      </c>
      <c r="O26" s="60" t="s">
        <v>37</v>
      </c>
      <c r="P26" s="57">
        <v>54.04</v>
      </c>
      <c r="Q26" s="58" t="s">
        <v>3</v>
      </c>
      <c r="R26" s="58">
        <v>0</v>
      </c>
      <c r="S26" s="58">
        <v>0.16</v>
      </c>
      <c r="T26" s="58" t="s">
        <v>127</v>
      </c>
      <c r="U26" s="58" t="s">
        <v>3</v>
      </c>
      <c r="V26" s="61">
        <v>9.01</v>
      </c>
      <c r="W26" s="60">
        <v>-3.4599999999999999E-2</v>
      </c>
      <c r="X26" s="61">
        <v>8.9499999999999993</v>
      </c>
      <c r="Y26" s="60">
        <v>-2.81E-2</v>
      </c>
    </row>
    <row r="27" spans="1:25" ht="13" thickBot="1" x14ac:dyDescent="0.3">
      <c r="A27" s="95" t="s">
        <v>112</v>
      </c>
      <c r="B27" s="91">
        <v>42640</v>
      </c>
      <c r="C27" s="3" t="s">
        <v>26</v>
      </c>
      <c r="D27" s="3">
        <v>3.18</v>
      </c>
      <c r="E27" s="3">
        <v>2598339000</v>
      </c>
      <c r="F27" s="3">
        <v>3.15</v>
      </c>
      <c r="G27" s="2">
        <v>3.21</v>
      </c>
      <c r="H27" s="4">
        <v>3.14</v>
      </c>
      <c r="I27" s="1">
        <v>0</v>
      </c>
      <c r="J27" s="6">
        <v>0</v>
      </c>
      <c r="K27" s="6">
        <v>-0.1167</v>
      </c>
      <c r="L27" s="6">
        <v>0.20230000000000001</v>
      </c>
      <c r="M27" s="89">
        <v>2.64</v>
      </c>
      <c r="N27" s="89">
        <v>3.6</v>
      </c>
      <c r="O27" s="6" t="s">
        <v>113</v>
      </c>
      <c r="P27" s="9">
        <v>13.09</v>
      </c>
      <c r="Q27" s="3" t="s">
        <v>3</v>
      </c>
      <c r="R27" s="3">
        <v>0</v>
      </c>
      <c r="S27" s="90">
        <v>0.24</v>
      </c>
      <c r="T27" s="90" t="s">
        <v>161</v>
      </c>
      <c r="U27" s="90" t="s">
        <v>3</v>
      </c>
      <c r="V27" s="10">
        <v>3.23</v>
      </c>
      <c r="W27" s="6">
        <v>-1.6899999999999998E-2</v>
      </c>
      <c r="X27" s="10">
        <v>3.28</v>
      </c>
      <c r="Y27" s="6">
        <v>-3.1300000000000001E-2</v>
      </c>
    </row>
    <row r="28" spans="1:25" ht="13" thickTop="1" x14ac:dyDescent="0.25">
      <c r="A28" s="3" t="s">
        <v>93</v>
      </c>
      <c r="B28" s="91">
        <v>42640</v>
      </c>
      <c r="C28" s="3" t="s">
        <v>26</v>
      </c>
      <c r="D28" s="3">
        <v>4.79</v>
      </c>
      <c r="E28" s="3">
        <v>4687535000</v>
      </c>
      <c r="F28" s="3">
        <v>4.7699999999999996</v>
      </c>
      <c r="G28" s="2">
        <v>4.8099999999999996</v>
      </c>
      <c r="H28" s="4">
        <v>4.74</v>
      </c>
      <c r="I28" s="1">
        <v>-0.01</v>
      </c>
      <c r="J28" s="6">
        <v>-2.0999999999999999E-3</v>
      </c>
      <c r="K28" s="6">
        <v>-0.1162</v>
      </c>
      <c r="L28" s="6">
        <v>0.25719999999999998</v>
      </c>
      <c r="M28" s="89">
        <v>3.81</v>
      </c>
      <c r="N28" s="89">
        <v>5.42</v>
      </c>
      <c r="O28" s="6" t="s">
        <v>94</v>
      </c>
      <c r="P28" s="9">
        <v>9.18</v>
      </c>
      <c r="Q28" s="3" t="s">
        <v>3</v>
      </c>
      <c r="R28" s="3">
        <v>0</v>
      </c>
      <c r="S28" s="90">
        <v>0.52</v>
      </c>
      <c r="T28" s="90">
        <v>0</v>
      </c>
      <c r="U28" s="90" t="s">
        <v>3</v>
      </c>
      <c r="V28" s="10">
        <v>4.87</v>
      </c>
      <c r="W28" s="6">
        <v>-1.54E-2</v>
      </c>
      <c r="X28" s="10">
        <v>4.7699999999999996</v>
      </c>
      <c r="Y28" s="6">
        <v>4.4999999999999997E-3</v>
      </c>
    </row>
    <row r="29" spans="1:25" x14ac:dyDescent="0.25">
      <c r="A29" s="3" t="s">
        <v>106</v>
      </c>
      <c r="B29" s="91">
        <v>42640</v>
      </c>
      <c r="C29" s="3" t="s">
        <v>26</v>
      </c>
      <c r="D29" s="3">
        <v>11.21</v>
      </c>
      <c r="E29" s="3">
        <v>2034167000</v>
      </c>
      <c r="F29" s="3">
        <v>11.08</v>
      </c>
      <c r="G29" s="2">
        <v>11.23</v>
      </c>
      <c r="H29" s="4">
        <v>10.96</v>
      </c>
      <c r="I29" s="1">
        <v>0.11</v>
      </c>
      <c r="J29" s="6">
        <v>9.9000000000000008E-3</v>
      </c>
      <c r="K29" s="6">
        <v>-0.1142</v>
      </c>
      <c r="L29" s="6">
        <v>0.154</v>
      </c>
      <c r="M29" s="89">
        <v>9.7100000000000009</v>
      </c>
      <c r="N29" s="89">
        <v>12.65</v>
      </c>
      <c r="O29" s="6" t="s">
        <v>107</v>
      </c>
      <c r="P29" s="9">
        <v>224.2</v>
      </c>
      <c r="Q29" s="3" t="s">
        <v>3</v>
      </c>
      <c r="R29" s="3">
        <v>0</v>
      </c>
      <c r="S29" s="90">
        <v>0.05</v>
      </c>
      <c r="T29" s="90" t="s">
        <v>125</v>
      </c>
      <c r="U29" s="90" t="s">
        <v>3</v>
      </c>
      <c r="V29" s="10">
        <v>11.38</v>
      </c>
      <c r="W29" s="6">
        <v>-1.4500000000000001E-2</v>
      </c>
      <c r="X29" s="10">
        <v>11.68</v>
      </c>
      <c r="Y29" s="6">
        <v>-4.0599999999999997E-2</v>
      </c>
    </row>
    <row r="30" spans="1:25" x14ac:dyDescent="0.25">
      <c r="A30" s="92" t="s">
        <v>59</v>
      </c>
      <c r="B30" s="50">
        <v>42640</v>
      </c>
      <c r="C30" s="53" t="s">
        <v>26</v>
      </c>
      <c r="D30" s="54">
        <v>5.07</v>
      </c>
      <c r="E30" s="54">
        <v>1792220000</v>
      </c>
      <c r="F30" s="54">
        <v>5.04</v>
      </c>
      <c r="G30" s="54">
        <v>5.08</v>
      </c>
      <c r="H30" s="54">
        <v>5.03</v>
      </c>
      <c r="I30" s="55">
        <v>0</v>
      </c>
      <c r="J30" s="56">
        <v>0</v>
      </c>
      <c r="K30" s="56">
        <v>-0.11360000000000001</v>
      </c>
      <c r="L30" s="56">
        <v>0.1575</v>
      </c>
      <c r="M30" s="88">
        <v>4.38</v>
      </c>
      <c r="N30" s="88">
        <v>5.72</v>
      </c>
      <c r="O30" s="60" t="s">
        <v>60</v>
      </c>
      <c r="P30" s="57">
        <v>8.83</v>
      </c>
      <c r="Q30" s="58" t="s">
        <v>3</v>
      </c>
      <c r="R30" s="58">
        <v>0</v>
      </c>
      <c r="S30" s="58">
        <v>0.56999999999999995</v>
      </c>
      <c r="T30" s="58" t="s">
        <v>138</v>
      </c>
      <c r="U30" s="58" t="s">
        <v>3</v>
      </c>
      <c r="V30" s="61">
        <v>5.18</v>
      </c>
      <c r="W30" s="60">
        <v>-2.0899999999999998E-2</v>
      </c>
      <c r="X30" s="61">
        <v>5.23</v>
      </c>
      <c r="Y30" s="60">
        <v>-3.0200000000000001E-2</v>
      </c>
    </row>
    <row r="31" spans="1:25" x14ac:dyDescent="0.25">
      <c r="A31" s="3" t="s">
        <v>114</v>
      </c>
      <c r="B31" s="91">
        <v>42640</v>
      </c>
      <c r="C31" s="3" t="s">
        <v>26</v>
      </c>
      <c r="D31" s="3">
        <v>29.96</v>
      </c>
      <c r="E31" s="3">
        <v>3238715000</v>
      </c>
      <c r="F31" s="3">
        <v>29.97</v>
      </c>
      <c r="G31" s="2">
        <v>30.06</v>
      </c>
      <c r="H31" s="4">
        <v>29.74</v>
      </c>
      <c r="I31" s="1">
        <v>-0.39</v>
      </c>
      <c r="J31" s="6">
        <v>-1.29E-2</v>
      </c>
      <c r="K31" s="6">
        <v>-0.112</v>
      </c>
      <c r="L31" s="6">
        <v>8.6699999999999999E-2</v>
      </c>
      <c r="M31" s="89">
        <v>27.57</v>
      </c>
      <c r="N31" s="89">
        <v>33.74</v>
      </c>
      <c r="O31" s="6" t="s">
        <v>115</v>
      </c>
      <c r="P31" s="9">
        <v>12.29</v>
      </c>
      <c r="Q31" s="3" t="s">
        <v>3</v>
      </c>
      <c r="R31" s="3">
        <v>0</v>
      </c>
      <c r="S31" s="90">
        <v>2.44</v>
      </c>
      <c r="T31" s="90">
        <v>0</v>
      </c>
      <c r="U31" s="90" t="s">
        <v>3</v>
      </c>
      <c r="V31" s="10">
        <v>29.87</v>
      </c>
      <c r="W31" s="6">
        <v>3.0000000000000001E-3</v>
      </c>
      <c r="X31" s="10">
        <v>30.15</v>
      </c>
      <c r="Y31" s="6">
        <v>-6.1999999999999998E-3</v>
      </c>
    </row>
    <row r="32" spans="1:25" x14ac:dyDescent="0.25">
      <c r="A32" s="3" t="s">
        <v>103</v>
      </c>
      <c r="B32" s="91">
        <v>42640</v>
      </c>
      <c r="C32" s="3" t="s">
        <v>26</v>
      </c>
      <c r="D32" s="3">
        <v>12.3</v>
      </c>
      <c r="E32" s="3">
        <v>1269884000</v>
      </c>
      <c r="F32" s="3">
        <v>12.3</v>
      </c>
      <c r="G32" s="2">
        <v>12.37</v>
      </c>
      <c r="H32" s="4">
        <v>12.23</v>
      </c>
      <c r="I32" s="1">
        <v>-0.19</v>
      </c>
      <c r="J32" s="6">
        <v>-1.52E-2</v>
      </c>
      <c r="K32" s="6">
        <v>-0.1119</v>
      </c>
      <c r="L32" s="6">
        <v>0.21659999999999999</v>
      </c>
      <c r="M32" s="89">
        <v>10.11</v>
      </c>
      <c r="N32" s="89">
        <v>13.85</v>
      </c>
      <c r="O32" s="6" t="s">
        <v>104</v>
      </c>
      <c r="P32" s="9">
        <v>15.41</v>
      </c>
      <c r="Q32" s="3" t="s">
        <v>3</v>
      </c>
      <c r="R32" s="3">
        <v>0</v>
      </c>
      <c r="S32" s="90">
        <v>0.8</v>
      </c>
      <c r="T32" s="90" t="s">
        <v>157</v>
      </c>
      <c r="U32" s="90" t="s">
        <v>3</v>
      </c>
      <c r="V32" s="10">
        <v>12.81</v>
      </c>
      <c r="W32" s="6">
        <v>-3.9899999999999998E-2</v>
      </c>
      <c r="X32" s="10">
        <v>12.54</v>
      </c>
      <c r="Y32" s="6">
        <v>-1.9E-2</v>
      </c>
    </row>
    <row r="33" spans="1:25" x14ac:dyDescent="0.25">
      <c r="A33" s="92" t="s">
        <v>51</v>
      </c>
      <c r="B33" s="50">
        <v>42640</v>
      </c>
      <c r="C33" s="53" t="s">
        <v>26</v>
      </c>
      <c r="D33" s="54">
        <v>108.1</v>
      </c>
      <c r="E33" s="54">
        <v>456343000</v>
      </c>
      <c r="F33" s="54">
        <v>105.61</v>
      </c>
      <c r="G33" s="54">
        <v>108.1</v>
      </c>
      <c r="H33" s="54">
        <v>105.06</v>
      </c>
      <c r="I33" s="55">
        <v>2</v>
      </c>
      <c r="J33" s="56">
        <v>1.89E-2</v>
      </c>
      <c r="K33" s="56">
        <v>-0.1085</v>
      </c>
      <c r="L33" s="56">
        <v>0.2281</v>
      </c>
      <c r="M33" s="88">
        <v>88.02</v>
      </c>
      <c r="N33" s="88">
        <v>121.25</v>
      </c>
      <c r="O33" s="60" t="s">
        <v>52</v>
      </c>
      <c r="P33" s="57">
        <v>40.29</v>
      </c>
      <c r="Q33" s="58" t="s">
        <v>3</v>
      </c>
      <c r="R33" s="58">
        <v>0</v>
      </c>
      <c r="S33" s="58">
        <v>2.68</v>
      </c>
      <c r="T33" s="58" t="s">
        <v>134</v>
      </c>
      <c r="U33" s="58" t="s">
        <v>3</v>
      </c>
      <c r="V33" s="61">
        <v>107.41</v>
      </c>
      <c r="W33" s="60">
        <v>6.4000000000000003E-3</v>
      </c>
      <c r="X33" s="61">
        <v>108.89</v>
      </c>
      <c r="Y33" s="60">
        <v>-7.3000000000000001E-3</v>
      </c>
    </row>
    <row r="34" spans="1:25" x14ac:dyDescent="0.25">
      <c r="A34" s="3" t="s">
        <v>118</v>
      </c>
      <c r="B34" s="91">
        <v>42640</v>
      </c>
      <c r="C34" s="3" t="s">
        <v>26</v>
      </c>
      <c r="D34" s="3">
        <v>9.94</v>
      </c>
      <c r="E34" s="3">
        <v>1873667000</v>
      </c>
      <c r="F34" s="3">
        <v>9.85</v>
      </c>
      <c r="G34" s="2">
        <v>9.94</v>
      </c>
      <c r="H34" s="4">
        <v>9.8000000000000007</v>
      </c>
      <c r="I34" s="1">
        <v>0.04</v>
      </c>
      <c r="J34" s="6">
        <v>4.0000000000000001E-3</v>
      </c>
      <c r="K34" s="6">
        <v>-0.1077</v>
      </c>
      <c r="L34" s="6">
        <v>9.8299999999999998E-2</v>
      </c>
      <c r="M34" s="89">
        <v>9.0500000000000007</v>
      </c>
      <c r="N34" s="89">
        <v>11.14</v>
      </c>
      <c r="O34" s="6" t="s">
        <v>119</v>
      </c>
      <c r="P34" s="9">
        <v>8.8800000000000008</v>
      </c>
      <c r="Q34" s="3" t="s">
        <v>3</v>
      </c>
      <c r="R34" s="3">
        <v>0</v>
      </c>
      <c r="S34" s="90">
        <v>1.1200000000000001</v>
      </c>
      <c r="T34" s="90">
        <v>0</v>
      </c>
      <c r="U34" s="90" t="s">
        <v>3</v>
      </c>
      <c r="V34" s="10">
        <v>10.15</v>
      </c>
      <c r="W34" s="6">
        <v>-2.0299999999999999E-2</v>
      </c>
      <c r="X34" s="10">
        <v>10.37</v>
      </c>
      <c r="Y34" s="6">
        <v>-4.1500000000000002E-2</v>
      </c>
    </row>
    <row r="35" spans="1:25" x14ac:dyDescent="0.25">
      <c r="A35" s="92" t="s">
        <v>30</v>
      </c>
      <c r="B35" s="50">
        <v>42640</v>
      </c>
      <c r="C35" s="53" t="s">
        <v>26</v>
      </c>
      <c r="D35" s="54">
        <v>14.99</v>
      </c>
      <c r="E35" s="54">
        <v>1151069000</v>
      </c>
      <c r="F35" s="54">
        <v>15.08</v>
      </c>
      <c r="G35" s="54">
        <v>15.14</v>
      </c>
      <c r="H35" s="54">
        <v>14.99</v>
      </c>
      <c r="I35" s="55">
        <v>-0.16</v>
      </c>
      <c r="J35" s="56">
        <v>-1.06E-2</v>
      </c>
      <c r="K35" s="56">
        <v>-0.1</v>
      </c>
      <c r="L35" s="56">
        <v>0.24299999999999999</v>
      </c>
      <c r="M35" s="88">
        <v>12.06</v>
      </c>
      <c r="N35" s="88">
        <v>16.66</v>
      </c>
      <c r="O35" s="60" t="s">
        <v>31</v>
      </c>
      <c r="P35" s="57">
        <v>72.42</v>
      </c>
      <c r="Q35" s="58" t="s">
        <v>3</v>
      </c>
      <c r="R35" s="58">
        <v>0</v>
      </c>
      <c r="S35" s="58">
        <v>0.21</v>
      </c>
      <c r="T35" s="58" t="s">
        <v>125</v>
      </c>
      <c r="U35" s="58" t="s">
        <v>3</v>
      </c>
      <c r="V35" s="61">
        <v>15.51</v>
      </c>
      <c r="W35" s="60">
        <v>-3.3700000000000001E-2</v>
      </c>
      <c r="X35" s="61">
        <v>15.25</v>
      </c>
      <c r="Y35" s="60">
        <v>-1.6899999999999998E-2</v>
      </c>
    </row>
    <row r="36" spans="1:25" x14ac:dyDescent="0.25">
      <c r="A36" s="3" t="s">
        <v>89</v>
      </c>
      <c r="B36" s="91">
        <v>42640</v>
      </c>
      <c r="C36" s="3" t="s">
        <v>26</v>
      </c>
      <c r="D36" s="3">
        <v>50.01</v>
      </c>
      <c r="E36" s="3">
        <v>423707000</v>
      </c>
      <c r="F36" s="3">
        <v>49.9</v>
      </c>
      <c r="G36" s="2">
        <v>50.25</v>
      </c>
      <c r="H36" s="4">
        <v>49.44</v>
      </c>
      <c r="I36" s="1">
        <v>-0.37</v>
      </c>
      <c r="J36" s="6">
        <v>-7.3000000000000001E-3</v>
      </c>
      <c r="K36" s="6">
        <v>-9.6299999999999997E-2</v>
      </c>
      <c r="L36" s="6">
        <v>0.36899999999999999</v>
      </c>
      <c r="M36" s="89">
        <v>36.53</v>
      </c>
      <c r="N36" s="89">
        <v>55.34</v>
      </c>
      <c r="O36" s="6" t="s">
        <v>90</v>
      </c>
      <c r="P36" s="9">
        <v>2273.1799999999998</v>
      </c>
      <c r="Q36" s="3" t="s">
        <v>3</v>
      </c>
      <c r="R36" s="3">
        <v>0</v>
      </c>
      <c r="S36" s="90">
        <v>0.02</v>
      </c>
      <c r="T36" s="90" t="s">
        <v>151</v>
      </c>
      <c r="U36" s="90" t="s">
        <v>3</v>
      </c>
      <c r="V36" s="10">
        <v>48.63</v>
      </c>
      <c r="W36" s="6">
        <v>2.8299999999999999E-2</v>
      </c>
      <c r="X36" s="10">
        <v>46.87</v>
      </c>
      <c r="Y36" s="6">
        <v>6.7100000000000007E-2</v>
      </c>
    </row>
    <row r="37" spans="1:25" x14ac:dyDescent="0.25">
      <c r="A37" s="3" t="s">
        <v>95</v>
      </c>
      <c r="B37" s="91">
        <v>42640</v>
      </c>
      <c r="C37" s="3" t="s">
        <v>26</v>
      </c>
      <c r="D37" s="3">
        <v>15.53</v>
      </c>
      <c r="E37" s="3">
        <v>317104000</v>
      </c>
      <c r="F37" s="3">
        <v>15.58</v>
      </c>
      <c r="G37" s="2">
        <v>15.69</v>
      </c>
      <c r="H37" s="4">
        <v>15.51</v>
      </c>
      <c r="I37" s="1">
        <v>-0.28999999999999998</v>
      </c>
      <c r="J37" s="6">
        <v>-1.83E-2</v>
      </c>
      <c r="K37" s="6">
        <v>-9.5000000000000001E-2</v>
      </c>
      <c r="L37" s="6">
        <v>0.31719999999999998</v>
      </c>
      <c r="M37" s="89">
        <v>11.79</v>
      </c>
      <c r="N37" s="89">
        <v>17.16</v>
      </c>
      <c r="O37" s="6" t="s">
        <v>96</v>
      </c>
      <c r="P37" s="9">
        <v>15.27</v>
      </c>
      <c r="Q37" s="3" t="s">
        <v>3</v>
      </c>
      <c r="R37" s="3">
        <v>0</v>
      </c>
      <c r="S37" s="90">
        <v>1.02</v>
      </c>
      <c r="T37" s="90" t="s">
        <v>153</v>
      </c>
      <c r="U37" s="90" t="s">
        <v>3</v>
      </c>
      <c r="V37" s="10">
        <v>15.86</v>
      </c>
      <c r="W37" s="6">
        <v>-2.0500000000000001E-2</v>
      </c>
      <c r="X37" s="10">
        <v>15.88</v>
      </c>
      <c r="Y37" s="6">
        <v>-2.2100000000000002E-2</v>
      </c>
    </row>
    <row r="38" spans="1:25" x14ac:dyDescent="0.25">
      <c r="A38" s="3" t="s">
        <v>105</v>
      </c>
      <c r="B38" s="91">
        <v>42640</v>
      </c>
      <c r="C38" s="3" t="s">
        <v>26</v>
      </c>
      <c r="D38" s="3">
        <v>6.92</v>
      </c>
      <c r="E38" s="3">
        <v>2205577000</v>
      </c>
      <c r="F38" s="3">
        <v>6.95</v>
      </c>
      <c r="G38" s="2">
        <v>6.96</v>
      </c>
      <c r="H38" s="4">
        <v>6.88</v>
      </c>
      <c r="I38" s="1">
        <v>-0.06</v>
      </c>
      <c r="J38" s="6">
        <v>-8.6E-3</v>
      </c>
      <c r="K38" s="6">
        <v>-9.1899999999999996E-2</v>
      </c>
      <c r="L38" s="6">
        <v>0.187</v>
      </c>
      <c r="M38" s="89">
        <v>5.83</v>
      </c>
      <c r="N38" s="89">
        <v>7.62</v>
      </c>
      <c r="O38" s="6" t="s">
        <v>33</v>
      </c>
      <c r="P38" s="9">
        <v>50.14</v>
      </c>
      <c r="Q38" s="3" t="s">
        <v>3</v>
      </c>
      <c r="R38" s="3">
        <v>0</v>
      </c>
      <c r="S38" s="90">
        <v>0.14000000000000001</v>
      </c>
      <c r="T38" s="90" t="s">
        <v>158</v>
      </c>
      <c r="U38" s="90" t="s">
        <v>3</v>
      </c>
      <c r="V38" s="10">
        <v>7.11</v>
      </c>
      <c r="W38" s="6">
        <v>-2.7300000000000001E-2</v>
      </c>
      <c r="X38" s="10">
        <v>7.03</v>
      </c>
      <c r="Y38" s="6">
        <v>-1.54E-2</v>
      </c>
    </row>
    <row r="39" spans="1:25" x14ac:dyDescent="0.25">
      <c r="A39" s="92" t="s">
        <v>38</v>
      </c>
      <c r="B39" s="50">
        <v>42640</v>
      </c>
      <c r="C39" s="53" t="s">
        <v>26</v>
      </c>
      <c r="D39" s="54">
        <v>47.76</v>
      </c>
      <c r="E39" s="54">
        <v>191727000</v>
      </c>
      <c r="F39" s="54">
        <v>47.85</v>
      </c>
      <c r="G39" s="54">
        <v>47.97</v>
      </c>
      <c r="H39" s="54">
        <v>47.47</v>
      </c>
      <c r="I39" s="55">
        <v>-0.57999999999999996</v>
      </c>
      <c r="J39" s="56">
        <v>-1.2E-2</v>
      </c>
      <c r="K39" s="56">
        <v>-8.8700000000000001E-2</v>
      </c>
      <c r="L39" s="56">
        <v>0.28799999999999998</v>
      </c>
      <c r="M39" s="88">
        <v>37.08</v>
      </c>
      <c r="N39" s="88">
        <v>52.41</v>
      </c>
      <c r="O39" s="60" t="s">
        <v>39</v>
      </c>
      <c r="P39" s="57">
        <v>21.67</v>
      </c>
      <c r="Q39" s="58" t="s">
        <v>3</v>
      </c>
      <c r="R39" s="58">
        <v>0</v>
      </c>
      <c r="S39" s="58">
        <v>2.2000000000000002</v>
      </c>
      <c r="T39" s="58" t="s">
        <v>128</v>
      </c>
      <c r="U39" s="58" t="s">
        <v>3</v>
      </c>
      <c r="V39" s="61">
        <v>49.71</v>
      </c>
      <c r="W39" s="60">
        <v>-3.9300000000000002E-2</v>
      </c>
      <c r="X39" s="61">
        <v>45.97</v>
      </c>
      <c r="Y39" s="60">
        <v>3.9E-2</v>
      </c>
    </row>
    <row r="40" spans="1:25" x14ac:dyDescent="0.25">
      <c r="A40" s="3" t="s">
        <v>99</v>
      </c>
      <c r="B40" s="91">
        <v>42640</v>
      </c>
      <c r="C40" s="3" t="s">
        <v>26</v>
      </c>
      <c r="D40" s="3">
        <v>22.04</v>
      </c>
      <c r="E40" s="3">
        <v>391800000</v>
      </c>
      <c r="F40" s="3">
        <v>21.79</v>
      </c>
      <c r="G40" s="2">
        <v>22.04</v>
      </c>
      <c r="H40" s="4">
        <v>21.59</v>
      </c>
      <c r="I40" s="1">
        <v>0.23</v>
      </c>
      <c r="J40" s="6">
        <v>1.0500000000000001E-2</v>
      </c>
      <c r="K40" s="6">
        <v>-8.77E-2</v>
      </c>
      <c r="L40" s="6">
        <v>0.30880000000000002</v>
      </c>
      <c r="M40" s="89">
        <v>16.84</v>
      </c>
      <c r="N40" s="89">
        <v>24.16</v>
      </c>
      <c r="O40" s="6" t="s">
        <v>100</v>
      </c>
      <c r="P40" s="9">
        <v>20.16</v>
      </c>
      <c r="Q40" s="3" t="s">
        <v>3</v>
      </c>
      <c r="R40" s="3">
        <v>0</v>
      </c>
      <c r="S40" s="90">
        <v>1.0900000000000001</v>
      </c>
      <c r="T40" s="90" t="s">
        <v>155</v>
      </c>
      <c r="U40" s="90" t="s">
        <v>3</v>
      </c>
      <c r="V40" s="10">
        <v>22.14</v>
      </c>
      <c r="W40" s="6">
        <v>-4.7000000000000002E-3</v>
      </c>
      <c r="X40" s="10">
        <v>20.94</v>
      </c>
      <c r="Y40" s="6">
        <v>5.2400000000000002E-2</v>
      </c>
    </row>
    <row r="41" spans="1:25" x14ac:dyDescent="0.25">
      <c r="A41" s="92" t="s">
        <v>67</v>
      </c>
      <c r="B41" s="50">
        <v>42640</v>
      </c>
      <c r="C41" s="53" t="s">
        <v>26</v>
      </c>
      <c r="D41" s="54">
        <v>13.6</v>
      </c>
      <c r="E41" s="54">
        <v>551125000</v>
      </c>
      <c r="F41" s="54">
        <v>13.62</v>
      </c>
      <c r="G41" s="54">
        <v>13.72</v>
      </c>
      <c r="H41" s="54">
        <v>13.55</v>
      </c>
      <c r="I41" s="55">
        <v>-0.16</v>
      </c>
      <c r="J41" s="56">
        <v>-1.1599999999999999E-2</v>
      </c>
      <c r="K41" s="56">
        <v>-8.48E-2</v>
      </c>
      <c r="L41" s="56">
        <v>0.1847</v>
      </c>
      <c r="M41" s="88">
        <v>11.48</v>
      </c>
      <c r="N41" s="88">
        <v>14.86</v>
      </c>
      <c r="O41" s="60" t="s">
        <v>68</v>
      </c>
      <c r="P41" s="57">
        <v>11.32</v>
      </c>
      <c r="Q41" s="58" t="s">
        <v>3</v>
      </c>
      <c r="R41" s="58">
        <v>0</v>
      </c>
      <c r="S41" s="58">
        <v>1.2</v>
      </c>
      <c r="T41" s="58" t="s">
        <v>142</v>
      </c>
      <c r="U41" s="58" t="s">
        <v>3</v>
      </c>
      <c r="V41" s="61">
        <v>13.8</v>
      </c>
      <c r="W41" s="60">
        <v>-1.4500000000000001E-2</v>
      </c>
      <c r="X41" s="61">
        <v>13.34</v>
      </c>
      <c r="Y41" s="60">
        <v>1.9699999999999999E-2</v>
      </c>
    </row>
    <row r="42" spans="1:25" x14ac:dyDescent="0.25">
      <c r="A42" s="3" t="s">
        <v>97</v>
      </c>
      <c r="B42" s="91">
        <v>42640</v>
      </c>
      <c r="C42" s="3" t="s">
        <v>26</v>
      </c>
      <c r="D42" s="3">
        <v>4.72</v>
      </c>
      <c r="E42" s="3">
        <v>2372043000</v>
      </c>
      <c r="F42" s="3">
        <v>4.68</v>
      </c>
      <c r="G42" s="2">
        <v>4.74</v>
      </c>
      <c r="H42" s="4">
        <v>4.68</v>
      </c>
      <c r="I42" s="1">
        <v>0</v>
      </c>
      <c r="J42" s="6">
        <v>0</v>
      </c>
      <c r="K42" s="6">
        <v>-7.6300000000000007E-2</v>
      </c>
      <c r="L42" s="6">
        <v>0.27050000000000002</v>
      </c>
      <c r="M42" s="89">
        <v>3.71</v>
      </c>
      <c r="N42" s="89">
        <v>5.1100000000000003</v>
      </c>
      <c r="O42" s="6" t="s">
        <v>98</v>
      </c>
      <c r="P42" s="9">
        <v>12.65</v>
      </c>
      <c r="Q42" s="3" t="s">
        <v>3</v>
      </c>
      <c r="R42" s="3">
        <v>0</v>
      </c>
      <c r="S42" s="90">
        <v>0.37</v>
      </c>
      <c r="T42" s="90" t="s">
        <v>154</v>
      </c>
      <c r="U42" s="90" t="s">
        <v>3</v>
      </c>
      <c r="V42" s="10">
        <v>4.76</v>
      </c>
      <c r="W42" s="6">
        <v>-9.2999999999999992E-3</v>
      </c>
      <c r="X42" s="10">
        <v>4.62</v>
      </c>
      <c r="Y42" s="6">
        <v>2.2499999999999999E-2</v>
      </c>
    </row>
    <row r="43" spans="1:25" x14ac:dyDescent="0.25">
      <c r="A43" s="92" t="s">
        <v>55</v>
      </c>
      <c r="B43" s="50">
        <v>42640</v>
      </c>
      <c r="C43" s="53" t="s">
        <v>26</v>
      </c>
      <c r="D43" s="54">
        <v>9.15</v>
      </c>
      <c r="E43" s="54">
        <v>965130000</v>
      </c>
      <c r="F43" s="54">
        <v>9.06</v>
      </c>
      <c r="G43" s="54">
        <v>9.16</v>
      </c>
      <c r="H43" s="54">
        <v>9.0500000000000007</v>
      </c>
      <c r="I43" s="55">
        <v>0.05</v>
      </c>
      <c r="J43" s="56">
        <v>5.4999999999999997E-3</v>
      </c>
      <c r="K43" s="56">
        <v>-7.4800000000000005E-2</v>
      </c>
      <c r="L43" s="56">
        <v>0.32229999999999998</v>
      </c>
      <c r="M43" s="88">
        <v>6.92</v>
      </c>
      <c r="N43" s="88">
        <v>9.89</v>
      </c>
      <c r="O43" s="60" t="s">
        <v>56</v>
      </c>
      <c r="P43" s="57">
        <v>7.03</v>
      </c>
      <c r="Q43" s="58" t="s">
        <v>3</v>
      </c>
      <c r="R43" s="58">
        <v>0</v>
      </c>
      <c r="S43" s="58">
        <v>1.3</v>
      </c>
      <c r="T43" s="58" t="s">
        <v>136</v>
      </c>
      <c r="U43" s="58" t="s">
        <v>3</v>
      </c>
      <c r="V43" s="61">
        <v>9.34</v>
      </c>
      <c r="W43" s="60">
        <v>-2.0299999999999999E-2</v>
      </c>
      <c r="X43" s="61">
        <v>8.86</v>
      </c>
      <c r="Y43" s="60">
        <v>3.32E-2</v>
      </c>
    </row>
    <row r="44" spans="1:25" x14ac:dyDescent="0.25">
      <c r="A44" s="92" t="s">
        <v>57</v>
      </c>
      <c r="B44" s="50">
        <v>42640</v>
      </c>
      <c r="C44" s="53" t="s">
        <v>26</v>
      </c>
      <c r="D44" s="54">
        <v>7.31</v>
      </c>
      <c r="E44" s="54">
        <v>1515127000</v>
      </c>
      <c r="F44" s="54">
        <v>7.25</v>
      </c>
      <c r="G44" s="54">
        <v>7.32</v>
      </c>
      <c r="H44" s="54">
        <v>7.23</v>
      </c>
      <c r="I44" s="55">
        <v>0.02</v>
      </c>
      <c r="J44" s="56">
        <v>2.7000000000000001E-3</v>
      </c>
      <c r="K44" s="56">
        <v>-6.4000000000000001E-2</v>
      </c>
      <c r="L44" s="56">
        <v>0.29380000000000001</v>
      </c>
      <c r="M44" s="88">
        <v>5.65</v>
      </c>
      <c r="N44" s="88">
        <v>7.81</v>
      </c>
      <c r="O44" s="60" t="s">
        <v>58</v>
      </c>
      <c r="P44" s="57">
        <v>10.47</v>
      </c>
      <c r="Q44" s="58" t="s">
        <v>3</v>
      </c>
      <c r="R44" s="58">
        <v>0</v>
      </c>
      <c r="S44" s="58">
        <v>0.7</v>
      </c>
      <c r="T44" s="58" t="s">
        <v>137</v>
      </c>
      <c r="U44" s="58" t="s">
        <v>3</v>
      </c>
      <c r="V44" s="61">
        <v>7.4</v>
      </c>
      <c r="W44" s="60">
        <v>-1.2E-2</v>
      </c>
      <c r="X44" s="61">
        <v>7.14</v>
      </c>
      <c r="Y44" s="60">
        <v>2.41E-2</v>
      </c>
    </row>
    <row r="45" spans="1:25" x14ac:dyDescent="0.25">
      <c r="A45" s="92" t="s">
        <v>34</v>
      </c>
      <c r="B45" s="50">
        <v>42640</v>
      </c>
      <c r="C45" s="53" t="s">
        <v>26</v>
      </c>
      <c r="D45" s="54">
        <v>27.45</v>
      </c>
      <c r="E45" s="54">
        <v>2889320000</v>
      </c>
      <c r="F45" s="54">
        <v>27.31</v>
      </c>
      <c r="G45" s="54">
        <v>27.63</v>
      </c>
      <c r="H45" s="54">
        <v>27.2</v>
      </c>
      <c r="I45" s="55">
        <v>-0.15</v>
      </c>
      <c r="J45" s="56">
        <v>-5.4000000000000003E-3</v>
      </c>
      <c r="K45" s="56">
        <v>-5.8999999999999997E-2</v>
      </c>
      <c r="L45" s="56">
        <v>0.25569999999999998</v>
      </c>
      <c r="M45" s="88">
        <v>21.86</v>
      </c>
      <c r="N45" s="88">
        <v>29.17</v>
      </c>
      <c r="O45" s="60" t="s">
        <v>35</v>
      </c>
      <c r="P45" s="57">
        <v>12.4</v>
      </c>
      <c r="Q45" s="58" t="s">
        <v>3</v>
      </c>
      <c r="R45" s="58">
        <v>0</v>
      </c>
      <c r="S45" s="58">
        <v>2.21</v>
      </c>
      <c r="T45" s="58">
        <v>0</v>
      </c>
      <c r="U45" s="58" t="s">
        <v>3</v>
      </c>
      <c r="V45" s="61">
        <v>26.76</v>
      </c>
      <c r="W45" s="60">
        <v>2.5899999999999999E-2</v>
      </c>
      <c r="X45" s="61">
        <v>25.01</v>
      </c>
      <c r="Y45" s="60">
        <v>9.74E-2</v>
      </c>
    </row>
    <row r="46" spans="1:25" x14ac:dyDescent="0.25">
      <c r="A46" s="3" t="s">
        <v>87</v>
      </c>
      <c r="B46" s="91">
        <v>42640</v>
      </c>
      <c r="C46" s="3" t="s">
        <v>26</v>
      </c>
      <c r="D46" s="3">
        <v>80.08</v>
      </c>
      <c r="E46" s="3">
        <v>129082000</v>
      </c>
      <c r="F46" s="3">
        <v>78.98</v>
      </c>
      <c r="G46" s="2">
        <v>80.2</v>
      </c>
      <c r="H46" s="4">
        <v>78.11</v>
      </c>
      <c r="I46" s="1">
        <v>1.04</v>
      </c>
      <c r="J46" s="6">
        <v>1.32E-2</v>
      </c>
      <c r="K46" s="6">
        <v>-4.7600000000000003E-2</v>
      </c>
      <c r="L46" s="6">
        <v>0.43409999999999999</v>
      </c>
      <c r="M46" s="89">
        <v>55.84</v>
      </c>
      <c r="N46" s="89">
        <v>84.08</v>
      </c>
      <c r="O46" s="6" t="s">
        <v>88</v>
      </c>
      <c r="P46" s="9">
        <v>37.06</v>
      </c>
      <c r="Q46" s="3" t="s">
        <v>3</v>
      </c>
      <c r="R46" s="3">
        <v>0</v>
      </c>
      <c r="S46" s="90">
        <v>2.16</v>
      </c>
      <c r="T46" s="90" t="s">
        <v>150</v>
      </c>
      <c r="U46" s="90" t="s">
        <v>3</v>
      </c>
      <c r="V46" s="10">
        <v>77.680000000000007</v>
      </c>
      <c r="W46" s="6">
        <v>3.0800000000000001E-2</v>
      </c>
      <c r="X46" s="10">
        <v>71.09</v>
      </c>
      <c r="Y46" s="6">
        <v>0.1265</v>
      </c>
    </row>
    <row r="47" spans="1:25" x14ac:dyDescent="0.25">
      <c r="A47" s="2" t="s">
        <v>69</v>
      </c>
      <c r="B47" s="7">
        <v>42640</v>
      </c>
      <c r="C47" s="4" t="s">
        <v>26</v>
      </c>
      <c r="D47" s="8">
        <v>2.23</v>
      </c>
      <c r="E47" s="8">
        <v>3684663000</v>
      </c>
      <c r="F47" s="8">
        <v>2.2200000000000002</v>
      </c>
      <c r="G47" s="8">
        <v>2.25</v>
      </c>
      <c r="H47" s="8">
        <v>2.21</v>
      </c>
      <c r="I47" s="11">
        <v>-0.01</v>
      </c>
      <c r="J47" s="6">
        <v>-4.4999999999999997E-3</v>
      </c>
      <c r="K47" s="6">
        <v>-4.7E-2</v>
      </c>
      <c r="L47" s="6">
        <v>0.33929999999999999</v>
      </c>
      <c r="M47" s="89">
        <v>1.66</v>
      </c>
      <c r="N47" s="89">
        <v>2.34</v>
      </c>
      <c r="O47" s="6" t="s">
        <v>70</v>
      </c>
      <c r="P47" s="9">
        <v>7.99</v>
      </c>
      <c r="Q47" s="3" t="s">
        <v>3</v>
      </c>
      <c r="R47" s="3">
        <v>0</v>
      </c>
      <c r="S47" s="90">
        <v>0.28000000000000003</v>
      </c>
      <c r="T47" s="90" t="s">
        <v>143</v>
      </c>
      <c r="U47" s="90" t="s">
        <v>3</v>
      </c>
      <c r="V47" s="10">
        <v>2.21</v>
      </c>
      <c r="W47" s="6">
        <v>7.7999999999999996E-3</v>
      </c>
      <c r="X47" s="10">
        <v>2.04</v>
      </c>
      <c r="Y47" s="6">
        <v>9.0999999999999998E-2</v>
      </c>
    </row>
    <row r="48" spans="1:25" x14ac:dyDescent="0.25">
      <c r="A48" s="49" t="s">
        <v>73</v>
      </c>
      <c r="B48" s="50">
        <v>42640</v>
      </c>
      <c r="C48" s="3" t="s">
        <v>26</v>
      </c>
      <c r="D48" s="3">
        <v>82.67</v>
      </c>
      <c r="E48" s="3">
        <v>314293000</v>
      </c>
      <c r="F48" s="3">
        <v>80.69</v>
      </c>
      <c r="G48" s="2">
        <v>82.67</v>
      </c>
      <c r="H48" s="4">
        <v>80.5</v>
      </c>
      <c r="I48" s="1">
        <v>0.98</v>
      </c>
      <c r="J48" s="6">
        <v>1.2E-2</v>
      </c>
      <c r="K48" s="6">
        <v>-4.6699999999999998E-2</v>
      </c>
      <c r="L48" s="6">
        <v>0.41849999999999998</v>
      </c>
      <c r="M48" s="89">
        <v>58.28</v>
      </c>
      <c r="N48" s="89">
        <v>86.72</v>
      </c>
      <c r="O48" s="6" t="s">
        <v>74</v>
      </c>
      <c r="P48" s="9">
        <v>13.78</v>
      </c>
      <c r="Q48" s="3" t="s">
        <v>3</v>
      </c>
      <c r="R48" s="3">
        <v>0</v>
      </c>
      <c r="S48" s="90">
        <v>6</v>
      </c>
      <c r="T48" s="90">
        <v>0</v>
      </c>
      <c r="U48" s="90" t="s">
        <v>3</v>
      </c>
      <c r="V48" s="10">
        <v>79.930000000000007</v>
      </c>
      <c r="W48" s="6">
        <v>3.4200000000000001E-2</v>
      </c>
      <c r="X48" s="10">
        <v>72.17</v>
      </c>
      <c r="Y48" s="6">
        <v>0.14549999999999999</v>
      </c>
    </row>
    <row r="49" spans="1:25" x14ac:dyDescent="0.25">
      <c r="A49" s="3" t="s">
        <v>110</v>
      </c>
      <c r="B49" s="91">
        <v>42640</v>
      </c>
      <c r="C49" s="3" t="s">
        <v>26</v>
      </c>
      <c r="D49" s="3">
        <v>10.97</v>
      </c>
      <c r="E49" s="3">
        <v>735132000</v>
      </c>
      <c r="F49" s="3">
        <v>10.95</v>
      </c>
      <c r="G49" s="2">
        <v>10.99</v>
      </c>
      <c r="H49" s="4">
        <v>10.87</v>
      </c>
      <c r="I49" s="1">
        <v>0.01</v>
      </c>
      <c r="J49" s="6">
        <v>8.9999999999999998E-4</v>
      </c>
      <c r="K49" s="6">
        <v>-4.53E-2</v>
      </c>
      <c r="L49" s="6">
        <v>0.79200000000000004</v>
      </c>
      <c r="M49" s="89">
        <v>6.12</v>
      </c>
      <c r="N49" s="89">
        <v>11.49</v>
      </c>
      <c r="O49" s="6" t="s">
        <v>111</v>
      </c>
      <c r="P49" s="9">
        <v>44.06</v>
      </c>
      <c r="Q49" s="3" t="s">
        <v>3</v>
      </c>
      <c r="R49" s="3">
        <v>0</v>
      </c>
      <c r="S49" s="90">
        <v>0.25</v>
      </c>
      <c r="T49" s="90" t="s">
        <v>160</v>
      </c>
      <c r="U49" s="90" t="s">
        <v>3</v>
      </c>
      <c r="V49" s="10">
        <v>10.68</v>
      </c>
      <c r="W49" s="6">
        <v>2.7099999999999999E-2</v>
      </c>
      <c r="X49" s="10">
        <v>9.93</v>
      </c>
      <c r="Y49" s="6">
        <v>0.105</v>
      </c>
    </row>
    <row r="50" spans="1:25" x14ac:dyDescent="0.25">
      <c r="A50" s="3" t="s">
        <v>91</v>
      </c>
      <c r="B50" s="91">
        <v>42640</v>
      </c>
      <c r="C50" s="3" t="s">
        <v>26</v>
      </c>
      <c r="D50" s="3">
        <v>2.39</v>
      </c>
      <c r="E50" s="3">
        <v>5229513000</v>
      </c>
      <c r="F50" s="3">
        <v>2.39</v>
      </c>
      <c r="G50" s="2">
        <v>2.4</v>
      </c>
      <c r="H50" s="4">
        <v>2.37</v>
      </c>
      <c r="I50" s="1">
        <v>-0.04</v>
      </c>
      <c r="J50" s="6">
        <v>-1.6500000000000001E-2</v>
      </c>
      <c r="K50" s="6">
        <v>-2.4500000000000001E-2</v>
      </c>
      <c r="L50" s="6">
        <v>1.7471000000000001</v>
      </c>
      <c r="M50" s="89">
        <v>0.87</v>
      </c>
      <c r="N50" s="89">
        <v>2.4500000000000002</v>
      </c>
      <c r="O50" s="6" t="s">
        <v>92</v>
      </c>
      <c r="P50" s="9" t="s">
        <v>3</v>
      </c>
      <c r="Q50" s="3" t="s">
        <v>3</v>
      </c>
      <c r="R50" s="3">
        <v>0</v>
      </c>
      <c r="S50" s="90">
        <v>-0.3</v>
      </c>
      <c r="T50" s="90" t="s">
        <v>152</v>
      </c>
      <c r="U50" s="90" t="s">
        <v>3</v>
      </c>
      <c r="V50" s="10">
        <v>2.11</v>
      </c>
      <c r="W50" s="6">
        <v>0.13339999999999999</v>
      </c>
      <c r="X50" s="10">
        <v>1.76</v>
      </c>
      <c r="Y50" s="6">
        <v>0.35980000000000001</v>
      </c>
    </row>
    <row r="51" spans="1:25" x14ac:dyDescent="0.25">
      <c r="A51" s="3" t="s">
        <v>116</v>
      </c>
      <c r="B51" s="91">
        <v>42640</v>
      </c>
      <c r="C51" s="3" t="s">
        <v>26</v>
      </c>
      <c r="D51" s="3">
        <v>43.97</v>
      </c>
      <c r="E51" s="3">
        <v>1109847000</v>
      </c>
      <c r="F51" s="3">
        <v>43.7</v>
      </c>
      <c r="G51" s="2">
        <v>44.35</v>
      </c>
      <c r="H51" s="4">
        <v>43.48</v>
      </c>
      <c r="I51" s="1">
        <v>0.24</v>
      </c>
      <c r="J51" s="6">
        <v>5.4999999999999997E-3</v>
      </c>
      <c r="K51" s="6">
        <v>-1.3899999999999999E-2</v>
      </c>
      <c r="L51" s="6">
        <v>0.19969999999999999</v>
      </c>
      <c r="M51" s="89">
        <v>36.65</v>
      </c>
      <c r="N51" s="89">
        <v>44.59</v>
      </c>
      <c r="O51" s="6" t="s">
        <v>117</v>
      </c>
      <c r="P51" s="9">
        <v>121.46</v>
      </c>
      <c r="Q51" s="3" t="s">
        <v>3</v>
      </c>
      <c r="R51" s="3">
        <v>0</v>
      </c>
      <c r="S51" s="90">
        <v>0.36</v>
      </c>
      <c r="T51" s="90" t="s">
        <v>162</v>
      </c>
      <c r="U51" s="90" t="s">
        <v>3</v>
      </c>
      <c r="V51" s="10">
        <v>42.98</v>
      </c>
      <c r="W51" s="6">
        <v>2.3E-2</v>
      </c>
      <c r="X51" s="10">
        <v>41.8</v>
      </c>
      <c r="Y51" s="6">
        <v>5.1900000000000002E-2</v>
      </c>
    </row>
    <row r="52" spans="1:25" x14ac:dyDescent="0.25">
      <c r="A52" s="92" t="s">
        <v>47</v>
      </c>
      <c r="B52" s="50">
        <v>42640</v>
      </c>
      <c r="C52" s="53" t="s">
        <v>26</v>
      </c>
      <c r="D52" s="54">
        <v>10.07</v>
      </c>
      <c r="E52" s="54">
        <v>538155000</v>
      </c>
      <c r="F52" s="54">
        <v>9.92</v>
      </c>
      <c r="G52" s="54">
        <v>10.11</v>
      </c>
      <c r="H52" s="54">
        <v>9.92</v>
      </c>
      <c r="I52" s="55">
        <v>0.02</v>
      </c>
      <c r="J52" s="56">
        <v>2E-3</v>
      </c>
      <c r="K52" s="56">
        <v>-4.0000000000000001E-3</v>
      </c>
      <c r="L52" s="56">
        <v>0.27389999999999998</v>
      </c>
      <c r="M52" s="88">
        <v>7.91</v>
      </c>
      <c r="N52" s="88">
        <v>10.11</v>
      </c>
      <c r="O52" s="60" t="s">
        <v>48</v>
      </c>
      <c r="P52" s="57">
        <v>18.86</v>
      </c>
      <c r="Q52" s="58" t="s">
        <v>3</v>
      </c>
      <c r="R52" s="58">
        <v>0</v>
      </c>
      <c r="S52" s="58">
        <v>0.53</v>
      </c>
      <c r="T52" s="58" t="s">
        <v>132</v>
      </c>
      <c r="U52" s="58" t="s">
        <v>3</v>
      </c>
      <c r="V52" s="61">
        <v>9.64</v>
      </c>
      <c r="W52" s="60">
        <v>4.4299999999999999E-2</v>
      </c>
      <c r="X52" s="61">
        <v>8.9700000000000006</v>
      </c>
      <c r="Y52" s="60">
        <v>0.12280000000000001</v>
      </c>
    </row>
  </sheetData>
  <sortState ref="A1:Y52">
    <sortCondition ref="K1:K52"/>
  </sortState>
  <conditionalFormatting sqref="I5:N25">
    <cfRule type="cellIs" dxfId="6" priority="1" operator="equal">
      <formula>0</formula>
    </cfRule>
    <cfRule type="cellIs" dxfId="5" priority="6" operator="lessThan">
      <formula>0</formula>
    </cfRule>
    <cfRule type="cellIs" dxfId="4" priority="7" operator="greaterThan">
      <formula>0</formula>
    </cfRule>
  </conditionalFormatting>
  <conditionalFormatting sqref="W5:W25 Y5:Y25">
    <cfRule type="containsText" dxfId="3" priority="2" operator="containsText" text="N/A">
      <formula>NOT(ISERROR(SEARCH("N/A",W5)))</formula>
    </cfRule>
    <cfRule type="cellIs" dxfId="2" priority="3" operator="equal">
      <formula>0</formula>
    </cfRule>
    <cfRule type="cellIs" dxfId="1" priority="4" operator="greaterThan">
      <formula>0</formula>
    </cfRule>
    <cfRule type="cellIs" dxfId="0" priority="5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3"/>
  <sheetViews>
    <sheetView workbookViewId="0">
      <selection activeCell="B1" sqref="B1:B223"/>
    </sheetView>
  </sheetViews>
  <sheetFormatPr defaultRowHeight="12.5" x14ac:dyDescent="0.25"/>
  <sheetData>
    <row r="1" spans="1:2" ht="14.5" x14ac:dyDescent="0.25">
      <c r="A1" s="105" t="s">
        <v>182</v>
      </c>
      <c r="B1" t="str">
        <f>UPPER($A1)</f>
        <v>GBT.AX</v>
      </c>
    </row>
    <row r="2" spans="1:2" ht="14.5" x14ac:dyDescent="0.25">
      <c r="A2" s="105" t="s">
        <v>183</v>
      </c>
      <c r="B2" t="str">
        <f t="shared" ref="B2:B65" si="0">UPPER($A2)</f>
        <v>CAT.AX</v>
      </c>
    </row>
    <row r="3" spans="1:2" ht="14.5" x14ac:dyDescent="0.25">
      <c r="A3" s="105" t="s">
        <v>184</v>
      </c>
      <c r="B3" t="str">
        <f t="shared" si="0"/>
        <v>8IH.AX</v>
      </c>
    </row>
    <row r="4" spans="1:2" ht="14.5" x14ac:dyDescent="0.25">
      <c r="A4" s="105" t="s">
        <v>185</v>
      </c>
      <c r="B4" t="str">
        <f t="shared" si="0"/>
        <v>MAQ.AX</v>
      </c>
    </row>
    <row r="5" spans="1:2" ht="14.5" x14ac:dyDescent="0.25">
      <c r="A5" s="105" t="s">
        <v>186</v>
      </c>
      <c r="B5" t="str">
        <f t="shared" si="0"/>
        <v>PMP.AX</v>
      </c>
    </row>
    <row r="6" spans="1:2" ht="14.5" x14ac:dyDescent="0.25">
      <c r="A6" s="105" t="s">
        <v>187</v>
      </c>
      <c r="B6" t="str">
        <f t="shared" si="0"/>
        <v>TCH.AX</v>
      </c>
    </row>
    <row r="7" spans="1:2" ht="14.5" x14ac:dyDescent="0.25">
      <c r="A7" s="105" t="s">
        <v>188</v>
      </c>
      <c r="B7" t="str">
        <f t="shared" si="0"/>
        <v>VLW.AX</v>
      </c>
    </row>
    <row r="8" spans="1:2" ht="14.5" x14ac:dyDescent="0.25">
      <c r="A8" s="105" t="s">
        <v>189</v>
      </c>
      <c r="B8" t="str">
        <f t="shared" si="0"/>
        <v>CII.AX</v>
      </c>
    </row>
    <row r="9" spans="1:2" ht="14.5" x14ac:dyDescent="0.25">
      <c r="A9" s="105" t="s">
        <v>190</v>
      </c>
      <c r="B9" t="str">
        <f t="shared" si="0"/>
        <v>CMA.AX</v>
      </c>
    </row>
    <row r="10" spans="1:2" ht="14.5" x14ac:dyDescent="0.25">
      <c r="A10" s="105" t="s">
        <v>191</v>
      </c>
      <c r="B10" t="str">
        <f t="shared" si="0"/>
        <v>ALI.AX</v>
      </c>
    </row>
    <row r="11" spans="1:2" ht="14.5" x14ac:dyDescent="0.25">
      <c r="A11" s="105" t="s">
        <v>192</v>
      </c>
      <c r="B11" t="str">
        <f t="shared" si="0"/>
        <v>EDE.AX</v>
      </c>
    </row>
    <row r="12" spans="1:2" ht="14.5" x14ac:dyDescent="0.25">
      <c r="A12" s="105" t="s">
        <v>193</v>
      </c>
      <c r="B12" t="str">
        <f t="shared" si="0"/>
        <v>CDA.AX</v>
      </c>
    </row>
    <row r="13" spans="1:2" ht="14.5" x14ac:dyDescent="0.25">
      <c r="A13" s="105" t="s">
        <v>194</v>
      </c>
      <c r="B13" t="str">
        <f t="shared" si="0"/>
        <v>PDN.AX</v>
      </c>
    </row>
    <row r="14" spans="1:2" ht="14.5" x14ac:dyDescent="0.25">
      <c r="A14" s="105" t="s">
        <v>195</v>
      </c>
      <c r="B14" t="str">
        <f t="shared" si="0"/>
        <v>SDG.AX</v>
      </c>
    </row>
    <row r="15" spans="1:2" ht="14.5" x14ac:dyDescent="0.25">
      <c r="A15" s="105" t="s">
        <v>196</v>
      </c>
      <c r="B15" t="str">
        <f t="shared" si="0"/>
        <v>RHL.AX</v>
      </c>
    </row>
    <row r="16" spans="1:2" ht="14.5" x14ac:dyDescent="0.25">
      <c r="A16" s="105" t="s">
        <v>197</v>
      </c>
      <c r="B16" t="str">
        <f t="shared" si="0"/>
        <v>PAY.AX</v>
      </c>
    </row>
    <row r="17" spans="1:2" ht="14.5" x14ac:dyDescent="0.25">
      <c r="A17" s="105" t="s">
        <v>198</v>
      </c>
      <c r="B17" t="str">
        <f t="shared" si="0"/>
        <v>MOY.AX</v>
      </c>
    </row>
    <row r="18" spans="1:2" ht="14.5" x14ac:dyDescent="0.25">
      <c r="A18" s="105" t="s">
        <v>199</v>
      </c>
      <c r="B18" t="str">
        <f t="shared" si="0"/>
        <v>BBG.AX</v>
      </c>
    </row>
    <row r="19" spans="1:2" ht="14.5" x14ac:dyDescent="0.25">
      <c r="A19" s="105" t="s">
        <v>200</v>
      </c>
      <c r="B19" t="str">
        <f t="shared" si="0"/>
        <v>ADH.AX</v>
      </c>
    </row>
    <row r="20" spans="1:2" ht="14.5" x14ac:dyDescent="0.25">
      <c r="A20" s="105" t="s">
        <v>201</v>
      </c>
      <c r="B20" t="str">
        <f t="shared" si="0"/>
        <v>GNG.AX</v>
      </c>
    </row>
    <row r="21" spans="1:2" ht="14.5" x14ac:dyDescent="0.25">
      <c r="A21" s="105" t="s">
        <v>202</v>
      </c>
      <c r="B21" t="str">
        <f t="shared" si="0"/>
        <v>MNY.AX</v>
      </c>
    </row>
    <row r="22" spans="1:2" ht="14.5" x14ac:dyDescent="0.25">
      <c r="A22" s="105" t="s">
        <v>203</v>
      </c>
      <c r="B22" t="str">
        <f t="shared" si="0"/>
        <v>CGL.AX</v>
      </c>
    </row>
    <row r="23" spans="1:2" ht="14.5" x14ac:dyDescent="0.25">
      <c r="A23" s="105" t="s">
        <v>204</v>
      </c>
      <c r="B23" t="str">
        <f t="shared" si="0"/>
        <v>ONE.AX</v>
      </c>
    </row>
    <row r="24" spans="1:2" ht="14.5" x14ac:dyDescent="0.25">
      <c r="A24" s="105" t="s">
        <v>205</v>
      </c>
      <c r="B24" t="str">
        <f t="shared" si="0"/>
        <v>IDX.AX</v>
      </c>
    </row>
    <row r="25" spans="1:2" ht="14.5" x14ac:dyDescent="0.25">
      <c r="A25" s="105" t="s">
        <v>206</v>
      </c>
      <c r="B25" t="str">
        <f t="shared" si="0"/>
        <v>AVJ.AX</v>
      </c>
    </row>
    <row r="26" spans="1:2" ht="14.5" x14ac:dyDescent="0.25">
      <c r="A26" s="105" t="s">
        <v>207</v>
      </c>
      <c r="B26" t="str">
        <f t="shared" si="0"/>
        <v>GTK.AX</v>
      </c>
    </row>
    <row r="27" spans="1:2" ht="14.5" x14ac:dyDescent="0.25">
      <c r="A27" s="105" t="s">
        <v>208</v>
      </c>
      <c r="B27" t="str">
        <f t="shared" si="0"/>
        <v>PIC.AX</v>
      </c>
    </row>
    <row r="28" spans="1:2" ht="14.5" x14ac:dyDescent="0.25">
      <c r="A28" s="105" t="s">
        <v>209</v>
      </c>
      <c r="B28" t="str">
        <f t="shared" si="0"/>
        <v>AMH.AX</v>
      </c>
    </row>
    <row r="29" spans="1:2" ht="14.5" x14ac:dyDescent="0.25">
      <c r="A29" s="105" t="s">
        <v>210</v>
      </c>
      <c r="B29" t="str">
        <f t="shared" si="0"/>
        <v>VAS.AX</v>
      </c>
    </row>
    <row r="30" spans="1:2" ht="14.5" x14ac:dyDescent="0.25">
      <c r="A30" s="105" t="s">
        <v>211</v>
      </c>
      <c r="B30" t="str">
        <f t="shared" si="0"/>
        <v>IFM.AX</v>
      </c>
    </row>
    <row r="31" spans="1:2" ht="14.5" x14ac:dyDescent="0.25">
      <c r="A31" s="105" t="s">
        <v>212</v>
      </c>
      <c r="B31" t="str">
        <f t="shared" si="0"/>
        <v>DTL.AX</v>
      </c>
    </row>
    <row r="32" spans="1:2" ht="14.5" x14ac:dyDescent="0.25">
      <c r="A32" s="105" t="s">
        <v>213</v>
      </c>
      <c r="B32" t="str">
        <f t="shared" si="0"/>
        <v>TIL.AX</v>
      </c>
    </row>
    <row r="33" spans="1:2" ht="14.5" x14ac:dyDescent="0.25">
      <c r="A33" s="105" t="s">
        <v>214</v>
      </c>
      <c r="B33" t="str">
        <f t="shared" si="0"/>
        <v>TGP.AX</v>
      </c>
    </row>
    <row r="34" spans="1:2" ht="14.5" x14ac:dyDescent="0.25">
      <c r="A34" s="105" t="s">
        <v>215</v>
      </c>
      <c r="B34" t="str">
        <f t="shared" si="0"/>
        <v>MGC.AX</v>
      </c>
    </row>
    <row r="35" spans="1:2" ht="14.5" x14ac:dyDescent="0.25">
      <c r="A35" s="105" t="s">
        <v>216</v>
      </c>
      <c r="B35" t="str">
        <f t="shared" si="0"/>
        <v>AQG.AX</v>
      </c>
    </row>
    <row r="36" spans="1:2" ht="14.5" x14ac:dyDescent="0.25">
      <c r="A36" s="105" t="s">
        <v>217</v>
      </c>
      <c r="B36" t="str">
        <f t="shared" si="0"/>
        <v>PEA.AX</v>
      </c>
    </row>
    <row r="37" spans="1:2" ht="14.5" x14ac:dyDescent="0.25">
      <c r="A37" s="105" t="s">
        <v>218</v>
      </c>
      <c r="B37" t="str">
        <f t="shared" si="0"/>
        <v>SHJ.AX</v>
      </c>
    </row>
    <row r="38" spans="1:2" ht="14.5" x14ac:dyDescent="0.25">
      <c r="A38" s="105" t="s">
        <v>219</v>
      </c>
      <c r="B38" t="str">
        <f t="shared" si="0"/>
        <v>ADA.AX</v>
      </c>
    </row>
    <row r="39" spans="1:2" ht="14.5" x14ac:dyDescent="0.25">
      <c r="A39" s="105" t="s">
        <v>220</v>
      </c>
      <c r="B39" t="str">
        <f t="shared" si="0"/>
        <v>SOM.AX</v>
      </c>
    </row>
    <row r="40" spans="1:2" ht="14.5" x14ac:dyDescent="0.25">
      <c r="A40" s="105" t="s">
        <v>221</v>
      </c>
      <c r="B40" t="str">
        <f t="shared" si="0"/>
        <v>ABA.AX</v>
      </c>
    </row>
    <row r="41" spans="1:2" ht="14.5" x14ac:dyDescent="0.25">
      <c r="A41" s="105" t="s">
        <v>222</v>
      </c>
      <c r="B41" t="str">
        <f t="shared" si="0"/>
        <v>BLK.AX</v>
      </c>
    </row>
    <row r="42" spans="1:2" ht="14.5" x14ac:dyDescent="0.25">
      <c r="A42" s="105" t="s">
        <v>223</v>
      </c>
      <c r="B42" t="str">
        <f t="shared" si="0"/>
        <v>TRS.AX</v>
      </c>
    </row>
    <row r="43" spans="1:2" ht="14.5" x14ac:dyDescent="0.25">
      <c r="A43" s="105" t="s">
        <v>224</v>
      </c>
      <c r="B43" t="str">
        <f t="shared" si="0"/>
        <v>WLL.AX</v>
      </c>
    </row>
    <row r="44" spans="1:2" ht="14.5" x14ac:dyDescent="0.25">
      <c r="A44" s="105" t="s">
        <v>225</v>
      </c>
      <c r="B44" t="str">
        <f t="shared" si="0"/>
        <v>SMN.AX</v>
      </c>
    </row>
    <row r="45" spans="1:2" ht="14.5" x14ac:dyDescent="0.25">
      <c r="A45" s="105" t="s">
        <v>226</v>
      </c>
      <c r="B45" t="str">
        <f t="shared" si="0"/>
        <v>FRI.AX</v>
      </c>
    </row>
    <row r="46" spans="1:2" ht="14.5" x14ac:dyDescent="0.25">
      <c r="A46" s="105" t="s">
        <v>227</v>
      </c>
      <c r="B46" t="str">
        <f t="shared" si="0"/>
        <v>IMD.AX</v>
      </c>
    </row>
    <row r="47" spans="1:2" ht="14.5" x14ac:dyDescent="0.25">
      <c r="A47" s="105" t="s">
        <v>228</v>
      </c>
      <c r="B47" t="str">
        <f t="shared" si="0"/>
        <v>SEA.AX</v>
      </c>
    </row>
    <row r="48" spans="1:2" ht="14.5" x14ac:dyDescent="0.25">
      <c r="A48" s="105" t="s">
        <v>229</v>
      </c>
      <c r="B48" t="str">
        <f t="shared" si="0"/>
        <v>SEH.AX</v>
      </c>
    </row>
    <row r="49" spans="1:2" ht="14.5" x14ac:dyDescent="0.25">
      <c r="A49" s="105" t="s">
        <v>230</v>
      </c>
      <c r="B49" t="str">
        <f t="shared" si="0"/>
        <v>CLQ.AX</v>
      </c>
    </row>
    <row r="50" spans="1:2" ht="14.5" x14ac:dyDescent="0.25">
      <c r="A50" s="105" t="s">
        <v>231</v>
      </c>
      <c r="B50" t="str">
        <f t="shared" si="0"/>
        <v>CVC.AX</v>
      </c>
    </row>
    <row r="51" spans="1:2" ht="14.5" x14ac:dyDescent="0.25">
      <c r="A51" s="105" t="s">
        <v>232</v>
      </c>
      <c r="B51" t="str">
        <f t="shared" si="0"/>
        <v>MLB.AX</v>
      </c>
    </row>
    <row r="52" spans="1:2" ht="14.5" x14ac:dyDescent="0.25">
      <c r="A52" s="105" t="s">
        <v>233</v>
      </c>
      <c r="B52" t="str">
        <f t="shared" si="0"/>
        <v>MUA.AX</v>
      </c>
    </row>
    <row r="53" spans="1:2" ht="14.5" x14ac:dyDescent="0.25">
      <c r="A53" s="105" t="s">
        <v>234</v>
      </c>
      <c r="B53" t="str">
        <f t="shared" si="0"/>
        <v>DRM.AX</v>
      </c>
    </row>
    <row r="54" spans="1:2" ht="14.5" x14ac:dyDescent="0.25">
      <c r="A54" s="105" t="s">
        <v>235</v>
      </c>
      <c r="B54" t="str">
        <f t="shared" si="0"/>
        <v>NMT.AX</v>
      </c>
    </row>
    <row r="55" spans="1:2" ht="14.5" x14ac:dyDescent="0.25">
      <c r="A55" s="105" t="s">
        <v>236</v>
      </c>
      <c r="B55" t="str">
        <f t="shared" si="0"/>
        <v>CDV.AX</v>
      </c>
    </row>
    <row r="56" spans="1:2" ht="14.5" x14ac:dyDescent="0.25">
      <c r="A56" s="105" t="s">
        <v>237</v>
      </c>
      <c r="B56" t="str">
        <f t="shared" si="0"/>
        <v>BGL.AX</v>
      </c>
    </row>
    <row r="57" spans="1:2" ht="14.5" x14ac:dyDescent="0.25">
      <c r="A57" s="105" t="s">
        <v>238</v>
      </c>
      <c r="B57" t="str">
        <f t="shared" si="0"/>
        <v>ENN.AX</v>
      </c>
    </row>
    <row r="58" spans="1:2" ht="14.5" x14ac:dyDescent="0.25">
      <c r="A58" s="105" t="s">
        <v>239</v>
      </c>
      <c r="B58" t="str">
        <f t="shared" si="0"/>
        <v>LYC.AX</v>
      </c>
    </row>
    <row r="59" spans="1:2" ht="14.5" x14ac:dyDescent="0.25">
      <c r="A59" s="105" t="s">
        <v>240</v>
      </c>
      <c r="B59" t="str">
        <f t="shared" si="0"/>
        <v>IGL.AX</v>
      </c>
    </row>
    <row r="60" spans="1:2" ht="14.5" x14ac:dyDescent="0.25">
      <c r="A60" s="105" t="s">
        <v>241</v>
      </c>
      <c r="B60" t="str">
        <f t="shared" si="0"/>
        <v>EMC.AX</v>
      </c>
    </row>
    <row r="61" spans="1:2" ht="14.5" x14ac:dyDescent="0.25">
      <c r="A61" s="105" t="s">
        <v>242</v>
      </c>
      <c r="B61" t="str">
        <f t="shared" si="0"/>
        <v>GOW.AX</v>
      </c>
    </row>
    <row r="62" spans="1:2" ht="14.5" x14ac:dyDescent="0.25">
      <c r="A62" s="105" t="s">
        <v>243</v>
      </c>
      <c r="B62" t="str">
        <f t="shared" si="0"/>
        <v>BFG.AX</v>
      </c>
    </row>
    <row r="63" spans="1:2" ht="14.5" x14ac:dyDescent="0.25">
      <c r="A63" s="105" t="s">
        <v>244</v>
      </c>
      <c r="B63" t="str">
        <f t="shared" si="0"/>
        <v>PPS.AX</v>
      </c>
    </row>
    <row r="64" spans="1:2" ht="14.5" x14ac:dyDescent="0.25">
      <c r="A64" s="105" t="s">
        <v>245</v>
      </c>
      <c r="B64" t="str">
        <f t="shared" si="0"/>
        <v>CTN.AX</v>
      </c>
    </row>
    <row r="65" spans="1:2" ht="14.5" x14ac:dyDescent="0.25">
      <c r="A65" s="105" t="s">
        <v>246</v>
      </c>
      <c r="B65" t="str">
        <f t="shared" si="0"/>
        <v>COE.AX</v>
      </c>
    </row>
    <row r="66" spans="1:2" ht="14.5" x14ac:dyDescent="0.25">
      <c r="A66" s="105" t="s">
        <v>247</v>
      </c>
      <c r="B66" t="str">
        <f t="shared" ref="B66:B129" si="1">UPPER($A66)</f>
        <v>RCT.AX</v>
      </c>
    </row>
    <row r="67" spans="1:2" ht="14.5" x14ac:dyDescent="0.25">
      <c r="A67" s="105" t="s">
        <v>248</v>
      </c>
      <c r="B67" t="str">
        <f t="shared" si="1"/>
        <v>RBL.AX</v>
      </c>
    </row>
    <row r="68" spans="1:2" ht="14.5" x14ac:dyDescent="0.25">
      <c r="A68" s="105" t="s">
        <v>249</v>
      </c>
      <c r="B68" t="str">
        <f t="shared" si="1"/>
        <v>ERA.AX</v>
      </c>
    </row>
    <row r="69" spans="1:2" ht="14.5" x14ac:dyDescent="0.25">
      <c r="A69" s="105" t="s">
        <v>250</v>
      </c>
      <c r="B69" t="str">
        <f t="shared" si="1"/>
        <v>NWH.AX</v>
      </c>
    </row>
    <row r="70" spans="1:2" ht="14.5" x14ac:dyDescent="0.25">
      <c r="A70" s="105" t="s">
        <v>251</v>
      </c>
      <c r="B70" t="str">
        <f t="shared" si="1"/>
        <v>AJX.AX</v>
      </c>
    </row>
    <row r="71" spans="1:2" ht="14.5" x14ac:dyDescent="0.25">
      <c r="A71" s="105" t="s">
        <v>252</v>
      </c>
      <c r="B71" t="str">
        <f t="shared" si="1"/>
        <v>AFY.AX</v>
      </c>
    </row>
    <row r="72" spans="1:2" ht="14.5" x14ac:dyDescent="0.25">
      <c r="A72" s="105" t="s">
        <v>253</v>
      </c>
      <c r="B72" t="str">
        <f t="shared" si="1"/>
        <v>RKN.AX</v>
      </c>
    </row>
    <row r="73" spans="1:2" ht="14.5" x14ac:dyDescent="0.25">
      <c r="A73" s="105" t="s">
        <v>254</v>
      </c>
      <c r="B73" t="str">
        <f t="shared" si="1"/>
        <v>HOM.AX</v>
      </c>
    </row>
    <row r="74" spans="1:2" ht="14.5" x14ac:dyDescent="0.25">
      <c r="A74" s="105" t="s">
        <v>255</v>
      </c>
      <c r="B74" t="str">
        <f t="shared" si="1"/>
        <v>GEG.AX</v>
      </c>
    </row>
    <row r="75" spans="1:2" ht="14.5" x14ac:dyDescent="0.25">
      <c r="A75" s="105" t="s">
        <v>256</v>
      </c>
      <c r="B75" t="str">
        <f t="shared" si="1"/>
        <v>EMF.AX</v>
      </c>
    </row>
    <row r="76" spans="1:2" ht="14.5" x14ac:dyDescent="0.25">
      <c r="A76" s="105" t="s">
        <v>257</v>
      </c>
      <c r="B76" t="str">
        <f t="shared" si="1"/>
        <v>CLH.AX</v>
      </c>
    </row>
    <row r="77" spans="1:2" ht="14.5" x14ac:dyDescent="0.25">
      <c r="A77" s="105" t="s">
        <v>258</v>
      </c>
      <c r="B77" t="str">
        <f t="shared" si="1"/>
        <v>DCG.AX</v>
      </c>
    </row>
    <row r="78" spans="1:2" ht="14.5" x14ac:dyDescent="0.25">
      <c r="A78" s="105" t="s">
        <v>259</v>
      </c>
      <c r="B78" t="str">
        <f t="shared" si="1"/>
        <v>BNO.AX</v>
      </c>
    </row>
    <row r="79" spans="1:2" ht="14.5" x14ac:dyDescent="0.25">
      <c r="A79" s="105" t="s">
        <v>260</v>
      </c>
      <c r="B79" t="str">
        <f t="shared" si="1"/>
        <v>TRY.AX</v>
      </c>
    </row>
    <row r="80" spans="1:2" ht="14.5" x14ac:dyDescent="0.25">
      <c r="A80" s="105" t="s">
        <v>261</v>
      </c>
      <c r="B80" t="str">
        <f t="shared" si="1"/>
        <v>OVH.AX</v>
      </c>
    </row>
    <row r="81" spans="1:2" ht="14.5" x14ac:dyDescent="0.25">
      <c r="A81" s="105" t="s">
        <v>262</v>
      </c>
      <c r="B81" t="str">
        <f t="shared" si="1"/>
        <v>KSC.AX</v>
      </c>
    </row>
    <row r="82" spans="1:2" ht="14.5" x14ac:dyDescent="0.25">
      <c r="A82" s="105" t="s">
        <v>263</v>
      </c>
      <c r="B82" t="str">
        <f t="shared" si="1"/>
        <v>CDU.AX</v>
      </c>
    </row>
    <row r="83" spans="1:2" ht="14.5" x14ac:dyDescent="0.25">
      <c r="A83" s="105" t="s">
        <v>264</v>
      </c>
      <c r="B83" t="str">
        <f t="shared" si="1"/>
        <v>AJD.AX</v>
      </c>
    </row>
    <row r="84" spans="1:2" ht="14.5" x14ac:dyDescent="0.25">
      <c r="A84" s="105" t="s">
        <v>265</v>
      </c>
      <c r="B84" t="str">
        <f t="shared" si="1"/>
        <v>AUF.AX</v>
      </c>
    </row>
    <row r="85" spans="1:2" ht="14.5" x14ac:dyDescent="0.25">
      <c r="A85" s="105" t="s">
        <v>266</v>
      </c>
      <c r="B85" t="str">
        <f t="shared" si="1"/>
        <v>WTP.AX</v>
      </c>
    </row>
    <row r="86" spans="1:2" ht="14.5" x14ac:dyDescent="0.25">
      <c r="A86" s="105" t="s">
        <v>267</v>
      </c>
      <c r="B86" t="str">
        <f t="shared" si="1"/>
        <v>CZZ.AX</v>
      </c>
    </row>
    <row r="87" spans="1:2" ht="14.5" x14ac:dyDescent="0.25">
      <c r="A87" s="105" t="s">
        <v>268</v>
      </c>
      <c r="B87" t="str">
        <f t="shared" si="1"/>
        <v>KSL.AX</v>
      </c>
    </row>
    <row r="88" spans="1:2" ht="14.5" x14ac:dyDescent="0.25">
      <c r="A88" s="105" t="s">
        <v>269</v>
      </c>
      <c r="B88" t="str">
        <f t="shared" si="1"/>
        <v>EZL.AX</v>
      </c>
    </row>
    <row r="89" spans="1:2" ht="14.5" x14ac:dyDescent="0.25">
      <c r="A89" s="105" t="s">
        <v>270</v>
      </c>
      <c r="B89" t="str">
        <f t="shared" si="1"/>
        <v>PNV.AX</v>
      </c>
    </row>
    <row r="90" spans="1:2" ht="14.5" x14ac:dyDescent="0.25">
      <c r="A90" s="105" t="s">
        <v>271</v>
      </c>
      <c r="B90" t="str">
        <f t="shared" si="1"/>
        <v>EGH.AX</v>
      </c>
    </row>
    <row r="91" spans="1:2" ht="14.5" x14ac:dyDescent="0.25">
      <c r="A91" s="105" t="s">
        <v>272</v>
      </c>
      <c r="B91" t="str">
        <f t="shared" si="1"/>
        <v>ONT.AX</v>
      </c>
    </row>
    <row r="92" spans="1:2" ht="14.5" x14ac:dyDescent="0.25">
      <c r="A92" s="105" t="s">
        <v>273</v>
      </c>
      <c r="B92" t="str">
        <f t="shared" si="1"/>
        <v>OCL.AX</v>
      </c>
    </row>
    <row r="93" spans="1:2" ht="14.5" x14ac:dyDescent="0.25">
      <c r="A93" s="105" t="s">
        <v>274</v>
      </c>
      <c r="B93" t="str">
        <f t="shared" si="1"/>
        <v>TZN.AX</v>
      </c>
    </row>
    <row r="94" spans="1:2" ht="14.5" x14ac:dyDescent="0.25">
      <c r="A94" s="105" t="s">
        <v>275</v>
      </c>
      <c r="B94" t="str">
        <f t="shared" si="1"/>
        <v>IBK.AX</v>
      </c>
    </row>
    <row r="95" spans="1:2" ht="14.5" x14ac:dyDescent="0.25">
      <c r="A95" s="105" t="s">
        <v>276</v>
      </c>
      <c r="B95" t="str">
        <f t="shared" si="1"/>
        <v>EVO.AX</v>
      </c>
    </row>
    <row r="96" spans="1:2" ht="14.5" x14ac:dyDescent="0.25">
      <c r="A96" s="105" t="s">
        <v>277</v>
      </c>
      <c r="B96" t="str">
        <f t="shared" si="1"/>
        <v>KDR.AX</v>
      </c>
    </row>
    <row r="97" spans="1:2" ht="14.5" x14ac:dyDescent="0.25">
      <c r="A97" s="105" t="s">
        <v>278</v>
      </c>
      <c r="B97" t="str">
        <f t="shared" si="1"/>
        <v>TOF.AX</v>
      </c>
    </row>
    <row r="98" spans="1:2" ht="14.5" x14ac:dyDescent="0.25">
      <c r="A98" s="105" t="s">
        <v>279</v>
      </c>
      <c r="B98" t="str">
        <f t="shared" si="1"/>
        <v>AGF.AX</v>
      </c>
    </row>
    <row r="99" spans="1:2" ht="14.5" x14ac:dyDescent="0.25">
      <c r="A99" s="105" t="s">
        <v>280</v>
      </c>
      <c r="B99" t="str">
        <f t="shared" si="1"/>
        <v>DWS.AX</v>
      </c>
    </row>
    <row r="100" spans="1:2" ht="14.5" x14ac:dyDescent="0.25">
      <c r="A100" s="105" t="s">
        <v>281</v>
      </c>
      <c r="B100" t="str">
        <f t="shared" si="1"/>
        <v>ATU.AX</v>
      </c>
    </row>
    <row r="101" spans="1:2" ht="14.5" x14ac:dyDescent="0.25">
      <c r="A101" s="105" t="s">
        <v>282</v>
      </c>
      <c r="B101" t="str">
        <f t="shared" si="1"/>
        <v>WAF.AX</v>
      </c>
    </row>
    <row r="102" spans="1:2" ht="14.5" x14ac:dyDescent="0.25">
      <c r="A102" s="105" t="s">
        <v>283</v>
      </c>
      <c r="B102" t="str">
        <f t="shared" si="1"/>
        <v>MTO.AX</v>
      </c>
    </row>
    <row r="103" spans="1:2" ht="14.5" x14ac:dyDescent="0.25">
      <c r="A103" s="105" t="s">
        <v>284</v>
      </c>
      <c r="B103" t="str">
        <f t="shared" si="1"/>
        <v>SMR.AX</v>
      </c>
    </row>
    <row r="104" spans="1:2" ht="14.5" x14ac:dyDescent="0.25">
      <c r="A104" s="105" t="s">
        <v>285</v>
      </c>
      <c r="B104" t="str">
        <f t="shared" si="1"/>
        <v>AJM.AX</v>
      </c>
    </row>
    <row r="105" spans="1:2" ht="14.5" x14ac:dyDescent="0.25">
      <c r="A105" s="105" t="s">
        <v>286</v>
      </c>
      <c r="B105" t="str">
        <f t="shared" si="1"/>
        <v>MRN.AX</v>
      </c>
    </row>
    <row r="106" spans="1:2" ht="14.5" x14ac:dyDescent="0.25">
      <c r="A106" s="105" t="s">
        <v>287</v>
      </c>
      <c r="B106" t="str">
        <f t="shared" si="1"/>
        <v>CCV.AX</v>
      </c>
    </row>
    <row r="107" spans="1:2" ht="14.5" x14ac:dyDescent="0.25">
      <c r="A107" s="105" t="s">
        <v>288</v>
      </c>
      <c r="B107" t="str">
        <f t="shared" si="1"/>
        <v>FSA.AX</v>
      </c>
    </row>
    <row r="108" spans="1:2" ht="14.5" x14ac:dyDescent="0.25">
      <c r="A108" s="105" t="s">
        <v>289</v>
      </c>
      <c r="B108" t="str">
        <f t="shared" si="1"/>
        <v>RDV.AX</v>
      </c>
    </row>
    <row r="109" spans="1:2" ht="14.5" x14ac:dyDescent="0.25">
      <c r="A109" s="105" t="s">
        <v>290</v>
      </c>
      <c r="B109" t="str">
        <f t="shared" si="1"/>
        <v>GCY.AX</v>
      </c>
    </row>
    <row r="110" spans="1:2" ht="14.5" x14ac:dyDescent="0.25">
      <c r="A110" s="105" t="s">
        <v>291</v>
      </c>
      <c r="B110" t="str">
        <f t="shared" si="1"/>
        <v>88E.AX</v>
      </c>
    </row>
    <row r="111" spans="1:2" ht="14.5" x14ac:dyDescent="0.25">
      <c r="A111" s="105" t="s">
        <v>292</v>
      </c>
      <c r="B111" t="str">
        <f t="shared" si="1"/>
        <v>QUAL.AX</v>
      </c>
    </row>
    <row r="112" spans="1:2" ht="14.5" x14ac:dyDescent="0.25">
      <c r="A112" s="105" t="s">
        <v>293</v>
      </c>
      <c r="B112" t="str">
        <f t="shared" si="1"/>
        <v>BSE.AX</v>
      </c>
    </row>
    <row r="113" spans="1:2" ht="14.5" x14ac:dyDescent="0.25">
      <c r="A113" s="105" t="s">
        <v>294</v>
      </c>
      <c r="B113" t="str">
        <f t="shared" si="1"/>
        <v>3PL.AX</v>
      </c>
    </row>
    <row r="114" spans="1:2" ht="14.5" x14ac:dyDescent="0.25">
      <c r="A114" s="105" t="s">
        <v>295</v>
      </c>
      <c r="B114" t="str">
        <f t="shared" si="1"/>
        <v>BKY.AX</v>
      </c>
    </row>
    <row r="115" spans="1:2" ht="14.5" x14ac:dyDescent="0.25">
      <c r="A115" s="105" t="s">
        <v>296</v>
      </c>
      <c r="B115" t="str">
        <f t="shared" si="1"/>
        <v>AIK.AX</v>
      </c>
    </row>
    <row r="116" spans="1:2" ht="14.5" x14ac:dyDescent="0.25">
      <c r="A116" s="105" t="s">
        <v>297</v>
      </c>
      <c r="B116" t="str">
        <f t="shared" si="1"/>
        <v>UPD.AX</v>
      </c>
    </row>
    <row r="117" spans="1:2" ht="14.5" x14ac:dyDescent="0.25">
      <c r="A117" s="105" t="s">
        <v>298</v>
      </c>
      <c r="B117" t="str">
        <f t="shared" si="1"/>
        <v>IIL.AX</v>
      </c>
    </row>
    <row r="118" spans="1:2" ht="14.5" x14ac:dyDescent="0.25">
      <c r="A118" s="105" t="s">
        <v>299</v>
      </c>
      <c r="B118" t="str">
        <f t="shared" si="1"/>
        <v>RFX.AX</v>
      </c>
    </row>
    <row r="119" spans="1:2" ht="14.5" x14ac:dyDescent="0.25">
      <c r="A119" s="105" t="s">
        <v>300</v>
      </c>
      <c r="B119" t="str">
        <f t="shared" si="1"/>
        <v>MP1.AX</v>
      </c>
    </row>
    <row r="120" spans="1:2" ht="14.5" x14ac:dyDescent="0.25">
      <c r="A120" s="105" t="s">
        <v>301</v>
      </c>
      <c r="B120" t="str">
        <f t="shared" si="1"/>
        <v>TPE.AX</v>
      </c>
    </row>
    <row r="121" spans="1:2" ht="14.5" x14ac:dyDescent="0.25">
      <c r="A121" s="105" t="s">
        <v>302</v>
      </c>
      <c r="B121" t="str">
        <f t="shared" si="1"/>
        <v>BAF.AX</v>
      </c>
    </row>
    <row r="122" spans="1:2" ht="14.5" x14ac:dyDescent="0.25">
      <c r="A122" s="105" t="s">
        <v>303</v>
      </c>
      <c r="B122" t="str">
        <f t="shared" si="1"/>
        <v>ELX.AX</v>
      </c>
    </row>
    <row r="123" spans="1:2" ht="14.5" x14ac:dyDescent="0.25">
      <c r="A123" s="105" t="s">
        <v>304</v>
      </c>
      <c r="B123" t="str">
        <f t="shared" si="1"/>
        <v>TWR.AX</v>
      </c>
    </row>
    <row r="124" spans="1:2" ht="14.5" x14ac:dyDescent="0.25">
      <c r="A124" s="105" t="s">
        <v>305</v>
      </c>
      <c r="B124" t="str">
        <f t="shared" si="1"/>
        <v>PNR.AX</v>
      </c>
    </row>
    <row r="125" spans="1:2" ht="14.5" x14ac:dyDescent="0.25">
      <c r="A125" s="105" t="s">
        <v>306</v>
      </c>
      <c r="B125" t="str">
        <f t="shared" si="1"/>
        <v>LOM.AX</v>
      </c>
    </row>
    <row r="126" spans="1:2" ht="14.5" x14ac:dyDescent="0.25">
      <c r="A126" s="105" t="s">
        <v>307</v>
      </c>
      <c r="B126" t="str">
        <f t="shared" si="1"/>
        <v>NZK.AX</v>
      </c>
    </row>
    <row r="127" spans="1:2" ht="14.5" x14ac:dyDescent="0.25">
      <c r="A127" s="105" t="s">
        <v>308</v>
      </c>
      <c r="B127" t="str">
        <f t="shared" si="1"/>
        <v>GZL.AX</v>
      </c>
    </row>
    <row r="128" spans="1:2" ht="14.5" x14ac:dyDescent="0.25">
      <c r="A128" s="105" t="s">
        <v>309</v>
      </c>
      <c r="B128" t="str">
        <f t="shared" si="1"/>
        <v>BSA.AX</v>
      </c>
    </row>
    <row r="129" spans="1:2" ht="14.5" x14ac:dyDescent="0.25">
      <c r="A129" s="105" t="s">
        <v>310</v>
      </c>
      <c r="B129" t="str">
        <f t="shared" si="1"/>
        <v>KGN.AX</v>
      </c>
    </row>
    <row r="130" spans="1:2" ht="14.5" x14ac:dyDescent="0.25">
      <c r="A130" s="105" t="s">
        <v>311</v>
      </c>
      <c r="B130" t="str">
        <f t="shared" ref="B130:B193" si="2">UPPER($A130)</f>
        <v>RWH.AX</v>
      </c>
    </row>
    <row r="131" spans="1:2" ht="14.5" x14ac:dyDescent="0.25">
      <c r="A131" s="105" t="s">
        <v>312</v>
      </c>
      <c r="B131" t="str">
        <f t="shared" si="2"/>
        <v>CMP.AX</v>
      </c>
    </row>
    <row r="132" spans="1:2" ht="14.5" x14ac:dyDescent="0.25">
      <c r="A132" s="105" t="s">
        <v>313</v>
      </c>
      <c r="B132" t="str">
        <f t="shared" si="2"/>
        <v>UBA.AX</v>
      </c>
    </row>
    <row r="133" spans="1:2" ht="14.5" x14ac:dyDescent="0.25">
      <c r="A133" s="105" t="s">
        <v>314</v>
      </c>
      <c r="B133" t="str">
        <f t="shared" si="2"/>
        <v>AHX.AX</v>
      </c>
    </row>
    <row r="134" spans="1:2" ht="14.5" x14ac:dyDescent="0.25">
      <c r="A134" s="105" t="s">
        <v>315</v>
      </c>
      <c r="B134" t="str">
        <f t="shared" si="2"/>
        <v>HIL.AX</v>
      </c>
    </row>
    <row r="135" spans="1:2" ht="14.5" x14ac:dyDescent="0.25">
      <c r="A135" s="105" t="s">
        <v>316</v>
      </c>
      <c r="B135" t="str">
        <f t="shared" si="2"/>
        <v>AVB.AX</v>
      </c>
    </row>
    <row r="136" spans="1:2" ht="14.5" x14ac:dyDescent="0.25">
      <c r="A136" s="105" t="s">
        <v>317</v>
      </c>
      <c r="B136" t="str">
        <f t="shared" si="2"/>
        <v>PGC.AX</v>
      </c>
    </row>
    <row r="137" spans="1:2" ht="14.5" x14ac:dyDescent="0.25">
      <c r="A137" s="105" t="s">
        <v>318</v>
      </c>
      <c r="B137" t="str">
        <f t="shared" si="2"/>
        <v>AJL.AX</v>
      </c>
    </row>
    <row r="138" spans="1:2" ht="14.5" x14ac:dyDescent="0.25">
      <c r="A138" s="105" t="s">
        <v>319</v>
      </c>
      <c r="B138" t="str">
        <f t="shared" si="2"/>
        <v>EGS.AX</v>
      </c>
    </row>
    <row r="139" spans="1:2" ht="14.5" x14ac:dyDescent="0.25">
      <c r="A139" s="105" t="s">
        <v>320</v>
      </c>
      <c r="B139" t="str">
        <f t="shared" si="2"/>
        <v>AFA.AX</v>
      </c>
    </row>
    <row r="140" spans="1:2" ht="14.5" x14ac:dyDescent="0.25">
      <c r="A140" s="105" t="s">
        <v>321</v>
      </c>
      <c r="B140" t="str">
        <f t="shared" si="2"/>
        <v>RND.AX</v>
      </c>
    </row>
    <row r="141" spans="1:2" ht="14.5" x14ac:dyDescent="0.25">
      <c r="A141" s="105" t="s">
        <v>322</v>
      </c>
      <c r="B141" t="str">
        <f t="shared" si="2"/>
        <v>FLK.AX</v>
      </c>
    </row>
    <row r="142" spans="1:2" ht="14.5" x14ac:dyDescent="0.25">
      <c r="A142" s="105" t="s">
        <v>323</v>
      </c>
      <c r="B142" t="str">
        <f t="shared" si="2"/>
        <v>MVW.AX</v>
      </c>
    </row>
    <row r="143" spans="1:2" ht="14.5" x14ac:dyDescent="0.25">
      <c r="A143" s="105" t="s">
        <v>324</v>
      </c>
      <c r="B143" t="str">
        <f t="shared" si="2"/>
        <v>MML.AX</v>
      </c>
    </row>
    <row r="144" spans="1:2" ht="14.5" x14ac:dyDescent="0.25">
      <c r="A144" s="105" t="s">
        <v>325</v>
      </c>
      <c r="B144" t="str">
        <f t="shared" si="2"/>
        <v>SSG.AX</v>
      </c>
    </row>
    <row r="145" spans="1:2" ht="14.5" x14ac:dyDescent="0.25">
      <c r="A145" s="105" t="s">
        <v>326</v>
      </c>
      <c r="B145" t="str">
        <f t="shared" si="2"/>
        <v>NBL.AX</v>
      </c>
    </row>
    <row r="146" spans="1:2" ht="14.5" x14ac:dyDescent="0.25">
      <c r="A146" s="105" t="s">
        <v>327</v>
      </c>
      <c r="B146" t="str">
        <f t="shared" si="2"/>
        <v>SEN.AX</v>
      </c>
    </row>
    <row r="147" spans="1:2" ht="14.5" x14ac:dyDescent="0.25">
      <c r="A147" s="105" t="s">
        <v>328</v>
      </c>
      <c r="B147" t="str">
        <f t="shared" si="2"/>
        <v>RHP.AX</v>
      </c>
    </row>
    <row r="148" spans="1:2" ht="14.5" x14ac:dyDescent="0.25">
      <c r="A148" s="105" t="s">
        <v>329</v>
      </c>
      <c r="B148" t="str">
        <f t="shared" si="2"/>
        <v>APD.AX</v>
      </c>
    </row>
    <row r="149" spans="1:2" ht="14.5" x14ac:dyDescent="0.25">
      <c r="A149" s="105" t="s">
        <v>330</v>
      </c>
      <c r="B149" t="str">
        <f t="shared" si="2"/>
        <v>ADJ.AX</v>
      </c>
    </row>
    <row r="150" spans="1:2" ht="14.5" x14ac:dyDescent="0.25">
      <c r="A150" s="105" t="s">
        <v>331</v>
      </c>
      <c r="B150" t="str">
        <f t="shared" si="2"/>
        <v>OBJ.AX</v>
      </c>
    </row>
    <row r="151" spans="1:2" ht="14.5" x14ac:dyDescent="0.25">
      <c r="A151" s="105" t="s">
        <v>332</v>
      </c>
      <c r="B151" t="str">
        <f t="shared" si="2"/>
        <v>GRR.AX</v>
      </c>
    </row>
    <row r="152" spans="1:2" ht="14.5" x14ac:dyDescent="0.25">
      <c r="A152" s="105" t="s">
        <v>333</v>
      </c>
      <c r="B152" t="str">
        <f t="shared" si="2"/>
        <v>1AL.AX</v>
      </c>
    </row>
    <row r="153" spans="1:2" ht="14.5" x14ac:dyDescent="0.25">
      <c r="A153" s="105" t="s">
        <v>334</v>
      </c>
      <c r="B153" t="str">
        <f t="shared" si="2"/>
        <v>MEA.AX</v>
      </c>
    </row>
    <row r="154" spans="1:2" ht="14.5" x14ac:dyDescent="0.25">
      <c r="A154" s="105" t="s">
        <v>335</v>
      </c>
      <c r="B154" t="str">
        <f t="shared" si="2"/>
        <v>SGH.AX</v>
      </c>
    </row>
    <row r="155" spans="1:2" ht="14.5" x14ac:dyDescent="0.25">
      <c r="A155" s="105" t="s">
        <v>336</v>
      </c>
      <c r="B155" t="str">
        <f t="shared" si="2"/>
        <v>BLY.AX</v>
      </c>
    </row>
    <row r="156" spans="1:2" ht="14.5" x14ac:dyDescent="0.25">
      <c r="A156" s="105" t="s">
        <v>337</v>
      </c>
      <c r="B156" t="str">
        <f t="shared" si="2"/>
        <v>ZML.AX</v>
      </c>
    </row>
    <row r="157" spans="1:2" ht="14.5" x14ac:dyDescent="0.25">
      <c r="A157" s="105" t="s">
        <v>338</v>
      </c>
      <c r="B157" t="str">
        <f t="shared" si="2"/>
        <v>NZM.AX</v>
      </c>
    </row>
    <row r="158" spans="1:2" ht="14.5" x14ac:dyDescent="0.25">
      <c r="A158" s="105" t="s">
        <v>339</v>
      </c>
      <c r="B158" t="str">
        <f t="shared" si="2"/>
        <v>OTW.AX</v>
      </c>
    </row>
    <row r="159" spans="1:2" ht="14.5" x14ac:dyDescent="0.25">
      <c r="A159" s="105" t="s">
        <v>340</v>
      </c>
      <c r="B159" t="str">
        <f t="shared" si="2"/>
        <v>RXP.AX</v>
      </c>
    </row>
    <row r="160" spans="1:2" ht="14.5" x14ac:dyDescent="0.25">
      <c r="A160" s="105" t="s">
        <v>341</v>
      </c>
      <c r="B160" t="str">
        <f t="shared" si="2"/>
        <v>ITQ.AX</v>
      </c>
    </row>
    <row r="161" spans="1:2" ht="14.5" x14ac:dyDescent="0.25">
      <c r="A161" s="105" t="s">
        <v>342</v>
      </c>
      <c r="B161" t="str">
        <f t="shared" si="2"/>
        <v>BCK.AX</v>
      </c>
    </row>
    <row r="162" spans="1:2" ht="14.5" x14ac:dyDescent="0.25">
      <c r="A162" s="105" t="s">
        <v>343</v>
      </c>
      <c r="B162" t="str">
        <f t="shared" si="2"/>
        <v>TIG.AX</v>
      </c>
    </row>
    <row r="163" spans="1:2" ht="14.5" x14ac:dyDescent="0.25">
      <c r="A163" s="105" t="s">
        <v>344</v>
      </c>
      <c r="B163" t="str">
        <f t="shared" si="2"/>
        <v>SHM.AX</v>
      </c>
    </row>
    <row r="164" spans="1:2" ht="14.5" x14ac:dyDescent="0.25">
      <c r="A164" s="105" t="s">
        <v>345</v>
      </c>
      <c r="B164" t="str">
        <f t="shared" si="2"/>
        <v>CGS.AX</v>
      </c>
    </row>
    <row r="165" spans="1:2" ht="14.5" x14ac:dyDescent="0.25">
      <c r="A165" s="105" t="s">
        <v>346</v>
      </c>
      <c r="B165" t="str">
        <f t="shared" si="2"/>
        <v>VGB.AX</v>
      </c>
    </row>
    <row r="166" spans="1:2" ht="14.5" x14ac:dyDescent="0.25">
      <c r="A166" s="105" t="s">
        <v>347</v>
      </c>
      <c r="B166" t="str">
        <f t="shared" si="2"/>
        <v>CVN.AX</v>
      </c>
    </row>
    <row r="167" spans="1:2" ht="14.5" x14ac:dyDescent="0.25">
      <c r="A167" s="105" t="s">
        <v>348</v>
      </c>
      <c r="B167" t="str">
        <f t="shared" si="2"/>
        <v>HAV.AX</v>
      </c>
    </row>
    <row r="168" spans="1:2" ht="14.5" x14ac:dyDescent="0.25">
      <c r="A168" s="105" t="s">
        <v>349</v>
      </c>
      <c r="B168" t="str">
        <f t="shared" si="2"/>
        <v>YOW.AX</v>
      </c>
    </row>
    <row r="169" spans="1:2" ht="14.5" x14ac:dyDescent="0.25">
      <c r="A169" s="105" t="s">
        <v>350</v>
      </c>
      <c r="B169" t="str">
        <f t="shared" si="2"/>
        <v>WIC.AX</v>
      </c>
    </row>
    <row r="170" spans="1:2" ht="14.5" x14ac:dyDescent="0.25">
      <c r="A170" s="105" t="s">
        <v>351</v>
      </c>
      <c r="B170" t="str">
        <f t="shared" si="2"/>
        <v>BFC.AX</v>
      </c>
    </row>
    <row r="171" spans="1:2" ht="14.5" x14ac:dyDescent="0.25">
      <c r="A171" s="105" t="s">
        <v>352</v>
      </c>
      <c r="B171" t="str">
        <f t="shared" si="2"/>
        <v>LAU.AX</v>
      </c>
    </row>
    <row r="172" spans="1:2" ht="14.5" x14ac:dyDescent="0.25">
      <c r="A172" s="105" t="s">
        <v>353</v>
      </c>
      <c r="B172" t="str">
        <f t="shared" si="2"/>
        <v>WXOZ.AX</v>
      </c>
    </row>
    <row r="173" spans="1:2" ht="14.5" x14ac:dyDescent="0.25">
      <c r="A173" s="105" t="s">
        <v>354</v>
      </c>
      <c r="B173" t="str">
        <f t="shared" si="2"/>
        <v>USG.AX</v>
      </c>
    </row>
    <row r="174" spans="1:2" ht="14.5" x14ac:dyDescent="0.25">
      <c r="A174" s="105" t="s">
        <v>355</v>
      </c>
      <c r="B174" t="str">
        <f t="shared" si="2"/>
        <v>FWD.AX</v>
      </c>
    </row>
    <row r="175" spans="1:2" ht="14.5" x14ac:dyDescent="0.25">
      <c r="A175" s="105" t="s">
        <v>356</v>
      </c>
      <c r="B175" t="str">
        <f t="shared" si="2"/>
        <v>AGO.AX</v>
      </c>
    </row>
    <row r="176" spans="1:2" ht="14.5" x14ac:dyDescent="0.25">
      <c r="A176" s="105" t="s">
        <v>357</v>
      </c>
      <c r="B176" t="str">
        <f t="shared" si="2"/>
        <v>CDC.AX</v>
      </c>
    </row>
    <row r="177" spans="1:2" ht="14.5" x14ac:dyDescent="0.25">
      <c r="A177" s="105" t="s">
        <v>358</v>
      </c>
      <c r="B177" t="str">
        <f t="shared" si="2"/>
        <v>AQC.AX</v>
      </c>
    </row>
    <row r="178" spans="1:2" ht="14.5" x14ac:dyDescent="0.25">
      <c r="A178" s="105" t="s">
        <v>359</v>
      </c>
      <c r="B178" t="str">
        <f t="shared" si="2"/>
        <v>TOP.AX</v>
      </c>
    </row>
    <row r="179" spans="1:2" ht="14.5" x14ac:dyDescent="0.25">
      <c r="A179" s="105" t="s">
        <v>360</v>
      </c>
      <c r="B179" t="str">
        <f t="shared" si="2"/>
        <v>NNW.AX</v>
      </c>
    </row>
    <row r="180" spans="1:2" ht="14.5" x14ac:dyDescent="0.25">
      <c r="A180" s="105" t="s">
        <v>361</v>
      </c>
      <c r="B180" t="str">
        <f t="shared" si="2"/>
        <v>TTC.AX</v>
      </c>
    </row>
    <row r="181" spans="1:2" ht="14.5" x14ac:dyDescent="0.25">
      <c r="A181" s="105" t="s">
        <v>362</v>
      </c>
      <c r="B181" t="str">
        <f t="shared" si="2"/>
        <v>FND.AX</v>
      </c>
    </row>
    <row r="182" spans="1:2" ht="14.5" x14ac:dyDescent="0.25">
      <c r="A182" s="105" t="s">
        <v>363</v>
      </c>
      <c r="B182" t="str">
        <f t="shared" si="2"/>
        <v>MJP.AX</v>
      </c>
    </row>
    <row r="183" spans="1:2" ht="14.5" x14ac:dyDescent="0.25">
      <c r="A183" s="105" t="s">
        <v>364</v>
      </c>
      <c r="B183" t="str">
        <f t="shared" si="2"/>
        <v>SDI.AX</v>
      </c>
    </row>
    <row r="184" spans="1:2" ht="14.5" x14ac:dyDescent="0.25">
      <c r="A184" s="105" t="s">
        <v>365</v>
      </c>
      <c r="B184" t="str">
        <f t="shared" si="2"/>
        <v>GAP.AX</v>
      </c>
    </row>
    <row r="185" spans="1:2" ht="14.5" x14ac:dyDescent="0.25">
      <c r="A185" s="105" t="s">
        <v>366</v>
      </c>
      <c r="B185" t="str">
        <f t="shared" si="2"/>
        <v>BBOZ.AX</v>
      </c>
    </row>
    <row r="186" spans="1:2" ht="14.5" x14ac:dyDescent="0.25">
      <c r="A186" s="105" t="s">
        <v>367</v>
      </c>
      <c r="B186" t="str">
        <f t="shared" si="2"/>
        <v>MBE.AX</v>
      </c>
    </row>
    <row r="187" spans="1:2" ht="14.5" x14ac:dyDescent="0.25">
      <c r="A187" s="105" t="s">
        <v>368</v>
      </c>
      <c r="B187" t="str">
        <f t="shared" si="2"/>
        <v>IOZ.AX</v>
      </c>
    </row>
    <row r="188" spans="1:2" ht="14.5" x14ac:dyDescent="0.25">
      <c r="A188" s="105" t="s">
        <v>369</v>
      </c>
      <c r="B188" t="str">
        <f t="shared" si="2"/>
        <v>VGAD.AX</v>
      </c>
    </row>
    <row r="189" spans="1:2" ht="14.5" x14ac:dyDescent="0.25">
      <c r="A189" s="105" t="s">
        <v>370</v>
      </c>
      <c r="B189" t="str">
        <f t="shared" si="2"/>
        <v>BLG.AX</v>
      </c>
    </row>
    <row r="190" spans="1:2" ht="14.5" x14ac:dyDescent="0.25">
      <c r="A190" s="105" t="s">
        <v>371</v>
      </c>
      <c r="B190" t="str">
        <f t="shared" si="2"/>
        <v>XIP.AX</v>
      </c>
    </row>
    <row r="191" spans="1:2" ht="14.5" x14ac:dyDescent="0.25">
      <c r="A191" s="105" t="s">
        <v>372</v>
      </c>
      <c r="B191" t="str">
        <f t="shared" si="2"/>
        <v>LHB.AX</v>
      </c>
    </row>
    <row r="192" spans="1:2" ht="14.5" x14ac:dyDescent="0.25">
      <c r="A192" s="105" t="s">
        <v>373</v>
      </c>
      <c r="B192" t="str">
        <f t="shared" si="2"/>
        <v>MCP.AX</v>
      </c>
    </row>
    <row r="193" spans="1:2" ht="14.5" x14ac:dyDescent="0.25">
      <c r="A193" s="105" t="s">
        <v>374</v>
      </c>
      <c r="B193" t="str">
        <f t="shared" si="2"/>
        <v>PHG.AX</v>
      </c>
    </row>
    <row r="194" spans="1:2" ht="14.5" x14ac:dyDescent="0.25">
      <c r="A194" s="105" t="s">
        <v>375</v>
      </c>
      <c r="B194" t="str">
        <f t="shared" ref="B194:B223" si="3">UPPER($A194)</f>
        <v>AVG.AX</v>
      </c>
    </row>
    <row r="195" spans="1:2" ht="14.5" x14ac:dyDescent="0.25">
      <c r="A195" s="105" t="s">
        <v>376</v>
      </c>
      <c r="B195" t="str">
        <f t="shared" si="3"/>
        <v>MXI.AX</v>
      </c>
    </row>
    <row r="196" spans="1:2" ht="14.5" x14ac:dyDescent="0.25">
      <c r="A196" s="105" t="s">
        <v>377</v>
      </c>
      <c r="B196" t="str">
        <f t="shared" si="3"/>
        <v>APZ.AX</v>
      </c>
    </row>
    <row r="197" spans="1:2" ht="14.5" x14ac:dyDescent="0.25">
      <c r="A197" s="105" t="s">
        <v>378</v>
      </c>
      <c r="B197" t="str">
        <f t="shared" si="3"/>
        <v>GVF.AX</v>
      </c>
    </row>
    <row r="198" spans="1:2" ht="14.5" x14ac:dyDescent="0.25">
      <c r="A198" s="105" t="s">
        <v>379</v>
      </c>
      <c r="B198" t="str">
        <f t="shared" si="3"/>
        <v>TNG.AX</v>
      </c>
    </row>
    <row r="199" spans="1:2" ht="14.5" x14ac:dyDescent="0.25">
      <c r="A199" s="105" t="s">
        <v>380</v>
      </c>
      <c r="B199" t="str">
        <f t="shared" si="3"/>
        <v>AGD.AX</v>
      </c>
    </row>
    <row r="200" spans="1:2" ht="14.5" x14ac:dyDescent="0.25">
      <c r="A200" s="105" t="s">
        <v>381</v>
      </c>
      <c r="B200" t="str">
        <f t="shared" si="3"/>
        <v>RUL.AX</v>
      </c>
    </row>
    <row r="201" spans="1:2" ht="14.5" x14ac:dyDescent="0.25">
      <c r="A201" s="105" t="s">
        <v>382</v>
      </c>
      <c r="B201" t="str">
        <f t="shared" si="3"/>
        <v>MAH.AX</v>
      </c>
    </row>
    <row r="202" spans="1:2" ht="14.5" x14ac:dyDescent="0.25">
      <c r="A202" s="105" t="s">
        <v>383</v>
      </c>
      <c r="B202" t="str">
        <f t="shared" si="3"/>
        <v>OPT.AX</v>
      </c>
    </row>
    <row r="203" spans="1:2" ht="14.5" x14ac:dyDescent="0.25">
      <c r="A203" s="105" t="s">
        <v>384</v>
      </c>
      <c r="B203" t="str">
        <f t="shared" si="3"/>
        <v>IAA.AX</v>
      </c>
    </row>
    <row r="204" spans="1:2" ht="14.5" x14ac:dyDescent="0.25">
      <c r="A204" s="105" t="s">
        <v>385</v>
      </c>
      <c r="B204" t="str">
        <f t="shared" si="3"/>
        <v>AWN.AX</v>
      </c>
    </row>
    <row r="205" spans="1:2" ht="14.5" x14ac:dyDescent="0.25">
      <c r="A205" s="105" t="s">
        <v>386</v>
      </c>
      <c r="B205" t="str">
        <f t="shared" si="3"/>
        <v>PPG.AX</v>
      </c>
    </row>
    <row r="206" spans="1:2" ht="14.5" x14ac:dyDescent="0.25">
      <c r="A206" s="105" t="s">
        <v>387</v>
      </c>
      <c r="B206" t="str">
        <f t="shared" si="3"/>
        <v>TAM.AX</v>
      </c>
    </row>
    <row r="207" spans="1:2" ht="14.5" x14ac:dyDescent="0.25">
      <c r="A207" s="105" t="s">
        <v>388</v>
      </c>
      <c r="B207" t="str">
        <f t="shared" si="3"/>
        <v>RAN.AX</v>
      </c>
    </row>
    <row r="208" spans="1:2" ht="14.5" x14ac:dyDescent="0.25">
      <c r="A208" s="105" t="s">
        <v>389</v>
      </c>
      <c r="B208" t="str">
        <f t="shared" si="3"/>
        <v>LYL.AX</v>
      </c>
    </row>
    <row r="209" spans="1:2" ht="14.5" x14ac:dyDescent="0.25">
      <c r="A209" s="105" t="s">
        <v>390</v>
      </c>
      <c r="B209" t="str">
        <f t="shared" si="3"/>
        <v>EAI.AX</v>
      </c>
    </row>
    <row r="210" spans="1:2" ht="14.5" x14ac:dyDescent="0.25">
      <c r="A210" s="105" t="s">
        <v>391</v>
      </c>
      <c r="B210" t="str">
        <f t="shared" si="3"/>
        <v>S2R.AX</v>
      </c>
    </row>
    <row r="211" spans="1:2" ht="14.5" x14ac:dyDescent="0.25">
      <c r="A211" s="105" t="s">
        <v>392</v>
      </c>
      <c r="B211" t="str">
        <f t="shared" si="3"/>
        <v>PRT.AX</v>
      </c>
    </row>
    <row r="212" spans="1:2" ht="14.5" x14ac:dyDescent="0.25">
      <c r="A212" s="105" t="s">
        <v>393</v>
      </c>
      <c r="B212" t="str">
        <f t="shared" si="3"/>
        <v>RCB.AX</v>
      </c>
    </row>
    <row r="213" spans="1:2" ht="14.5" x14ac:dyDescent="0.25">
      <c r="A213" s="105" t="s">
        <v>394</v>
      </c>
      <c r="B213" t="str">
        <f t="shared" si="3"/>
        <v>SMX.AX</v>
      </c>
    </row>
    <row r="214" spans="1:2" ht="14.5" x14ac:dyDescent="0.25">
      <c r="A214" s="105" t="s">
        <v>395</v>
      </c>
      <c r="B214" t="str">
        <f t="shared" si="3"/>
        <v>ORL.AX</v>
      </c>
    </row>
    <row r="215" spans="1:2" ht="14.5" x14ac:dyDescent="0.25">
      <c r="A215" s="105" t="s">
        <v>396</v>
      </c>
      <c r="B215" t="str">
        <f t="shared" si="3"/>
        <v>OSP.AX</v>
      </c>
    </row>
    <row r="216" spans="1:2" ht="14.5" x14ac:dyDescent="0.25">
      <c r="A216" s="105" t="s">
        <v>397</v>
      </c>
      <c r="B216" t="str">
        <f t="shared" si="3"/>
        <v>PAN.AX</v>
      </c>
    </row>
    <row r="217" spans="1:2" ht="14.5" x14ac:dyDescent="0.25">
      <c r="A217" s="105" t="s">
        <v>398</v>
      </c>
      <c r="B217" t="str">
        <f t="shared" si="3"/>
        <v>MRM.AX</v>
      </c>
    </row>
    <row r="218" spans="1:2" ht="14.5" x14ac:dyDescent="0.25">
      <c r="A218" s="105" t="s">
        <v>399</v>
      </c>
      <c r="B218" t="str">
        <f t="shared" si="3"/>
        <v>PAC.AX</v>
      </c>
    </row>
    <row r="219" spans="1:2" ht="14.5" x14ac:dyDescent="0.25">
      <c r="A219" s="105" t="s">
        <v>400</v>
      </c>
      <c r="B219" t="str">
        <f t="shared" si="3"/>
        <v>BTI.AX</v>
      </c>
    </row>
    <row r="220" spans="1:2" ht="14.5" x14ac:dyDescent="0.25">
      <c r="A220" s="105" t="s">
        <v>401</v>
      </c>
      <c r="B220" t="str">
        <f t="shared" si="3"/>
        <v>EMR.AX</v>
      </c>
    </row>
    <row r="221" spans="1:2" ht="14.5" x14ac:dyDescent="0.25">
      <c r="A221" s="105" t="s">
        <v>402</v>
      </c>
      <c r="B221" t="str">
        <f t="shared" si="3"/>
        <v>SFH.AX</v>
      </c>
    </row>
    <row r="222" spans="1:2" ht="14.5" x14ac:dyDescent="0.25">
      <c r="A222" s="105" t="s">
        <v>403</v>
      </c>
      <c r="B222" t="str">
        <f t="shared" si="3"/>
        <v>TER.AX</v>
      </c>
    </row>
    <row r="223" spans="1:2" ht="15" thickBot="1" x14ac:dyDescent="0.3">
      <c r="A223" s="106" t="s">
        <v>404</v>
      </c>
      <c r="B223" t="str">
        <f t="shared" si="3"/>
        <v>TWD.AX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449</vt:i4>
      </vt:variant>
    </vt:vector>
  </HeadingPairs>
  <TitlesOfParts>
    <vt:vector size="453" baseType="lpstr">
      <vt:lpstr>Yahoo Share Data</vt:lpstr>
      <vt:lpstr>Yahoo Tags</vt:lpstr>
      <vt:lpstr>Sheet1</vt:lpstr>
      <vt:lpstr>Sheet2</vt:lpstr>
      <vt:lpstr>'Yahoo Share Data'!ExternalData_1</vt:lpstr>
      <vt:lpstr>'Yahoo Share Data'!ExternalData_10</vt:lpstr>
      <vt:lpstr>Sheet1!ExternalData_100</vt:lpstr>
      <vt:lpstr>'Yahoo Share Data'!ExternalData_100</vt:lpstr>
      <vt:lpstr>Sheet1!ExternalData_101</vt:lpstr>
      <vt:lpstr>'Yahoo Share Data'!ExternalData_101</vt:lpstr>
      <vt:lpstr>Sheet1!ExternalData_102</vt:lpstr>
      <vt:lpstr>'Yahoo Share Data'!ExternalData_102</vt:lpstr>
      <vt:lpstr>Sheet1!ExternalData_103</vt:lpstr>
      <vt:lpstr>'Yahoo Share Data'!ExternalData_103</vt:lpstr>
      <vt:lpstr>Sheet1!ExternalData_104</vt:lpstr>
      <vt:lpstr>Sheet1!ExternalData_105</vt:lpstr>
      <vt:lpstr>Sheet1!ExternalData_106</vt:lpstr>
      <vt:lpstr>Sheet1!ExternalData_107</vt:lpstr>
      <vt:lpstr>Sheet1!ExternalData_108</vt:lpstr>
      <vt:lpstr>Sheet1!ExternalData_109</vt:lpstr>
      <vt:lpstr>'Yahoo Share Data'!ExternalData_11</vt:lpstr>
      <vt:lpstr>Sheet1!ExternalData_110</vt:lpstr>
      <vt:lpstr>Sheet1!ExternalData_111</vt:lpstr>
      <vt:lpstr>Sheet1!ExternalData_112</vt:lpstr>
      <vt:lpstr>Sheet1!ExternalData_113</vt:lpstr>
      <vt:lpstr>Sheet1!ExternalData_114</vt:lpstr>
      <vt:lpstr>Sheet1!ExternalData_115</vt:lpstr>
      <vt:lpstr>Sheet1!ExternalData_116</vt:lpstr>
      <vt:lpstr>Sheet1!ExternalData_117</vt:lpstr>
      <vt:lpstr>Sheet1!ExternalData_118</vt:lpstr>
      <vt:lpstr>Sheet1!ExternalData_119</vt:lpstr>
      <vt:lpstr>'Yahoo Share Data'!ExternalData_12</vt:lpstr>
      <vt:lpstr>Sheet1!ExternalData_120</vt:lpstr>
      <vt:lpstr>Sheet1!ExternalData_121</vt:lpstr>
      <vt:lpstr>Sheet1!ExternalData_122</vt:lpstr>
      <vt:lpstr>Sheet1!ExternalData_123</vt:lpstr>
      <vt:lpstr>Sheet1!ExternalData_124</vt:lpstr>
      <vt:lpstr>Sheet1!ExternalData_125</vt:lpstr>
      <vt:lpstr>Sheet1!ExternalData_126</vt:lpstr>
      <vt:lpstr>Sheet1!ExternalData_127</vt:lpstr>
      <vt:lpstr>Sheet1!ExternalData_128</vt:lpstr>
      <vt:lpstr>Sheet1!ExternalData_129</vt:lpstr>
      <vt:lpstr>'Yahoo Share Data'!ExternalData_13</vt:lpstr>
      <vt:lpstr>Sheet1!ExternalData_130</vt:lpstr>
      <vt:lpstr>Sheet1!ExternalData_131</vt:lpstr>
      <vt:lpstr>Sheet1!ExternalData_132</vt:lpstr>
      <vt:lpstr>Sheet1!ExternalData_133</vt:lpstr>
      <vt:lpstr>Sheet1!ExternalData_134</vt:lpstr>
      <vt:lpstr>Sheet1!ExternalData_135</vt:lpstr>
      <vt:lpstr>Sheet1!ExternalData_136</vt:lpstr>
      <vt:lpstr>Sheet1!ExternalData_137</vt:lpstr>
      <vt:lpstr>Sheet1!ExternalData_138</vt:lpstr>
      <vt:lpstr>Sheet1!ExternalData_139</vt:lpstr>
      <vt:lpstr>'Yahoo Share Data'!ExternalData_14</vt:lpstr>
      <vt:lpstr>Sheet1!ExternalData_140</vt:lpstr>
      <vt:lpstr>Sheet1!ExternalData_141</vt:lpstr>
      <vt:lpstr>Sheet1!ExternalData_142</vt:lpstr>
      <vt:lpstr>Sheet1!ExternalData_143</vt:lpstr>
      <vt:lpstr>Sheet1!ExternalData_144</vt:lpstr>
      <vt:lpstr>Sheet1!ExternalData_145</vt:lpstr>
      <vt:lpstr>Sheet1!ExternalData_146</vt:lpstr>
      <vt:lpstr>Sheet1!ExternalData_147</vt:lpstr>
      <vt:lpstr>Sheet1!ExternalData_148</vt:lpstr>
      <vt:lpstr>Sheet1!ExternalData_149</vt:lpstr>
      <vt:lpstr>'Yahoo Share Data'!ExternalData_15</vt:lpstr>
      <vt:lpstr>Sheet1!ExternalData_150</vt:lpstr>
      <vt:lpstr>Sheet1!ExternalData_151</vt:lpstr>
      <vt:lpstr>Sheet1!ExternalData_152</vt:lpstr>
      <vt:lpstr>Sheet1!ExternalData_153</vt:lpstr>
      <vt:lpstr>Sheet1!ExternalData_16</vt:lpstr>
      <vt:lpstr>'Yahoo Share Data'!ExternalData_16</vt:lpstr>
      <vt:lpstr>'Yahoo Share Data'!ExternalData_17</vt:lpstr>
      <vt:lpstr>'Yahoo Share Data'!ExternalData_18</vt:lpstr>
      <vt:lpstr>'Yahoo Share Data'!ExternalData_19</vt:lpstr>
      <vt:lpstr>'Yahoo Share Data'!ExternalData_2</vt:lpstr>
      <vt:lpstr>'Yahoo Share Data'!ExternalData_20</vt:lpstr>
      <vt:lpstr>'Yahoo Share Data'!ExternalData_21</vt:lpstr>
      <vt:lpstr>'Yahoo Share Data'!ExternalData_22</vt:lpstr>
      <vt:lpstr>'Yahoo Share Data'!ExternalData_23</vt:lpstr>
      <vt:lpstr>'Yahoo Share Data'!ExternalData_24</vt:lpstr>
      <vt:lpstr>'Yahoo Share Data'!ExternalData_25</vt:lpstr>
      <vt:lpstr>'Yahoo Share Data'!ExternalData_26</vt:lpstr>
      <vt:lpstr>'Yahoo Share Data'!ExternalData_27</vt:lpstr>
      <vt:lpstr>'Yahoo Share Data'!ExternalData_28</vt:lpstr>
      <vt:lpstr>'Yahoo Share Data'!ExternalData_29</vt:lpstr>
      <vt:lpstr>'Yahoo Share Data'!ExternalData_3</vt:lpstr>
      <vt:lpstr>'Yahoo Share Data'!ExternalData_30</vt:lpstr>
      <vt:lpstr>'Yahoo Share Data'!ExternalData_31</vt:lpstr>
      <vt:lpstr>'Yahoo Share Data'!ExternalData_32</vt:lpstr>
      <vt:lpstr>'Yahoo Share Data'!ExternalData_33</vt:lpstr>
      <vt:lpstr>'Yahoo Share Data'!ExternalData_34</vt:lpstr>
      <vt:lpstr>'Yahoo Share Data'!ExternalData_35</vt:lpstr>
      <vt:lpstr>'Yahoo Share Data'!ExternalData_36</vt:lpstr>
      <vt:lpstr>'Yahoo Share Data'!ExternalData_37</vt:lpstr>
      <vt:lpstr>'Yahoo Share Data'!ExternalData_38</vt:lpstr>
      <vt:lpstr>'Yahoo Share Data'!ExternalData_39</vt:lpstr>
      <vt:lpstr>'Yahoo Share Data'!ExternalData_4</vt:lpstr>
      <vt:lpstr>'Yahoo Share Data'!ExternalData_40</vt:lpstr>
      <vt:lpstr>'Yahoo Share Data'!ExternalData_41</vt:lpstr>
      <vt:lpstr>'Yahoo Share Data'!ExternalData_42</vt:lpstr>
      <vt:lpstr>'Yahoo Share Data'!ExternalData_43</vt:lpstr>
      <vt:lpstr>'Yahoo Share Data'!ExternalData_44</vt:lpstr>
      <vt:lpstr>'Yahoo Share Data'!ExternalData_45</vt:lpstr>
      <vt:lpstr>'Yahoo Share Data'!ExternalData_46</vt:lpstr>
      <vt:lpstr>'Yahoo Share Data'!ExternalData_47</vt:lpstr>
      <vt:lpstr>'Yahoo Share Data'!ExternalData_48</vt:lpstr>
      <vt:lpstr>'Yahoo Share Data'!ExternalData_49</vt:lpstr>
      <vt:lpstr>'Yahoo Share Data'!ExternalData_5</vt:lpstr>
      <vt:lpstr>'Yahoo Share Data'!ExternalData_50</vt:lpstr>
      <vt:lpstr>'Yahoo Share Data'!ExternalData_51</vt:lpstr>
      <vt:lpstr>'Yahoo Share Data'!ExternalData_52</vt:lpstr>
      <vt:lpstr>'Yahoo Share Data'!ExternalData_53</vt:lpstr>
      <vt:lpstr>'Yahoo Share Data'!ExternalData_54</vt:lpstr>
      <vt:lpstr>'Yahoo Share Data'!ExternalData_55</vt:lpstr>
      <vt:lpstr>'Yahoo Share Data'!ExternalData_56</vt:lpstr>
      <vt:lpstr>'Yahoo Share Data'!ExternalData_57</vt:lpstr>
      <vt:lpstr>'Yahoo Share Data'!ExternalData_58</vt:lpstr>
      <vt:lpstr>'Yahoo Share Data'!ExternalData_59</vt:lpstr>
      <vt:lpstr>'Yahoo Share Data'!ExternalData_6</vt:lpstr>
      <vt:lpstr>'Yahoo Share Data'!ExternalData_60</vt:lpstr>
      <vt:lpstr>'Yahoo Share Data'!ExternalData_61</vt:lpstr>
      <vt:lpstr>'Yahoo Share Data'!ExternalData_62</vt:lpstr>
      <vt:lpstr>'Yahoo Share Data'!ExternalData_63</vt:lpstr>
      <vt:lpstr>'Yahoo Share Data'!ExternalData_64</vt:lpstr>
      <vt:lpstr>'Yahoo Share Data'!ExternalData_65</vt:lpstr>
      <vt:lpstr>'Yahoo Share Data'!ExternalData_66</vt:lpstr>
      <vt:lpstr>'Yahoo Share Data'!ExternalData_67</vt:lpstr>
      <vt:lpstr>'Yahoo Share Data'!ExternalData_68</vt:lpstr>
      <vt:lpstr>'Yahoo Share Data'!ExternalData_69</vt:lpstr>
      <vt:lpstr>'Yahoo Share Data'!ExternalData_7</vt:lpstr>
      <vt:lpstr>'Yahoo Share Data'!ExternalData_70</vt:lpstr>
      <vt:lpstr>'Yahoo Share Data'!ExternalData_71</vt:lpstr>
      <vt:lpstr>'Yahoo Share Data'!ExternalData_72</vt:lpstr>
      <vt:lpstr>Sheet1!ExternalData_73</vt:lpstr>
      <vt:lpstr>'Yahoo Share Data'!ExternalData_73</vt:lpstr>
      <vt:lpstr>Sheet1!ExternalData_74</vt:lpstr>
      <vt:lpstr>'Yahoo Share Data'!ExternalData_74</vt:lpstr>
      <vt:lpstr>Sheet1!ExternalData_75</vt:lpstr>
      <vt:lpstr>'Yahoo Share Data'!ExternalData_75</vt:lpstr>
      <vt:lpstr>Sheet1!ExternalData_76</vt:lpstr>
      <vt:lpstr>'Yahoo Share Data'!ExternalData_76</vt:lpstr>
      <vt:lpstr>Sheet1!ExternalData_77</vt:lpstr>
      <vt:lpstr>'Yahoo Share Data'!ExternalData_77</vt:lpstr>
      <vt:lpstr>Sheet1!ExternalData_78</vt:lpstr>
      <vt:lpstr>'Yahoo Share Data'!ExternalData_78</vt:lpstr>
      <vt:lpstr>Sheet1!ExternalData_79</vt:lpstr>
      <vt:lpstr>'Yahoo Share Data'!ExternalData_79</vt:lpstr>
      <vt:lpstr>'Yahoo Share Data'!ExternalData_8</vt:lpstr>
      <vt:lpstr>Sheet1!ExternalData_80</vt:lpstr>
      <vt:lpstr>'Yahoo Share Data'!ExternalData_80</vt:lpstr>
      <vt:lpstr>Sheet1!ExternalData_81</vt:lpstr>
      <vt:lpstr>'Yahoo Share Data'!ExternalData_81</vt:lpstr>
      <vt:lpstr>Sheet1!ExternalData_82</vt:lpstr>
      <vt:lpstr>'Yahoo Share Data'!ExternalData_82</vt:lpstr>
      <vt:lpstr>Sheet1!ExternalData_83</vt:lpstr>
      <vt:lpstr>'Yahoo Share Data'!ExternalData_83</vt:lpstr>
      <vt:lpstr>Sheet1!ExternalData_84</vt:lpstr>
      <vt:lpstr>'Yahoo Share Data'!ExternalData_84</vt:lpstr>
      <vt:lpstr>Sheet1!ExternalData_85</vt:lpstr>
      <vt:lpstr>'Yahoo Share Data'!ExternalData_85</vt:lpstr>
      <vt:lpstr>Sheet1!ExternalData_86</vt:lpstr>
      <vt:lpstr>'Yahoo Share Data'!ExternalData_86</vt:lpstr>
      <vt:lpstr>Sheet1!ExternalData_87</vt:lpstr>
      <vt:lpstr>'Yahoo Share Data'!ExternalData_87</vt:lpstr>
      <vt:lpstr>Sheet1!ExternalData_88</vt:lpstr>
      <vt:lpstr>'Yahoo Share Data'!ExternalData_88</vt:lpstr>
      <vt:lpstr>Sheet1!ExternalData_89</vt:lpstr>
      <vt:lpstr>'Yahoo Share Data'!ExternalData_89</vt:lpstr>
      <vt:lpstr>'Yahoo Share Data'!ExternalData_9</vt:lpstr>
      <vt:lpstr>Sheet1!ExternalData_90</vt:lpstr>
      <vt:lpstr>'Yahoo Share Data'!ExternalData_90</vt:lpstr>
      <vt:lpstr>Sheet1!ExternalData_91</vt:lpstr>
      <vt:lpstr>'Yahoo Share Data'!ExternalData_91</vt:lpstr>
      <vt:lpstr>Sheet1!ExternalData_92</vt:lpstr>
      <vt:lpstr>'Yahoo Share Data'!ExternalData_92</vt:lpstr>
      <vt:lpstr>Sheet1!ExternalData_93</vt:lpstr>
      <vt:lpstr>'Yahoo Share Data'!ExternalData_93</vt:lpstr>
      <vt:lpstr>Sheet1!ExternalData_94</vt:lpstr>
      <vt:lpstr>'Yahoo Share Data'!ExternalData_94</vt:lpstr>
      <vt:lpstr>Sheet1!ExternalData_95</vt:lpstr>
      <vt:lpstr>'Yahoo Share Data'!ExternalData_95</vt:lpstr>
      <vt:lpstr>Sheet1!ExternalData_96</vt:lpstr>
      <vt:lpstr>'Yahoo Share Data'!ExternalData_96</vt:lpstr>
      <vt:lpstr>Sheet1!ExternalData_97</vt:lpstr>
      <vt:lpstr>'Yahoo Share Data'!ExternalData_97</vt:lpstr>
      <vt:lpstr>Sheet1!ExternalData_98</vt:lpstr>
      <vt:lpstr>'Yahoo Share Data'!ExternalData_98</vt:lpstr>
      <vt:lpstr>Sheet1!ExternalData_99</vt:lpstr>
      <vt:lpstr>'Yahoo Share Data'!ExternalData_99</vt:lpstr>
      <vt:lpstr>'Yahoo Share Data'!ExternalData1</vt:lpstr>
      <vt:lpstr>Sheet1!ExternalData1_1</vt:lpstr>
      <vt:lpstr>'Yahoo Share Data'!ExternalData10</vt:lpstr>
      <vt:lpstr>Sheet1!ExternalData10_1</vt:lpstr>
      <vt:lpstr>'Yahoo Share Data'!ExternalData11</vt:lpstr>
      <vt:lpstr>Sheet1!ExternalData11_1</vt:lpstr>
      <vt:lpstr>'Yahoo Share Data'!ExternalData12</vt:lpstr>
      <vt:lpstr>Sheet1!ExternalData12_1</vt:lpstr>
      <vt:lpstr>'Yahoo Share Data'!ExternalData13</vt:lpstr>
      <vt:lpstr>Sheet1!ExternalData13_1</vt:lpstr>
      <vt:lpstr>'Yahoo Share Data'!ExternalData14</vt:lpstr>
      <vt:lpstr>Sheet1!ExternalData14_1</vt:lpstr>
      <vt:lpstr>'Yahoo Share Data'!ExternalData15</vt:lpstr>
      <vt:lpstr>Sheet1!ExternalData15_1</vt:lpstr>
      <vt:lpstr>'Yahoo Share Data'!ExternalData16</vt:lpstr>
      <vt:lpstr>Sheet1!ExternalData16_1</vt:lpstr>
      <vt:lpstr>'Yahoo Share Data'!ExternalData17</vt:lpstr>
      <vt:lpstr>Sheet1!ExternalData17_1</vt:lpstr>
      <vt:lpstr>'Yahoo Share Data'!ExternalData18</vt:lpstr>
      <vt:lpstr>Sheet1!ExternalData18_1</vt:lpstr>
      <vt:lpstr>'Yahoo Share Data'!ExternalData19</vt:lpstr>
      <vt:lpstr>Sheet1!ExternalData19_1</vt:lpstr>
      <vt:lpstr>'Yahoo Share Data'!ExternalData2</vt:lpstr>
      <vt:lpstr>Sheet1!ExternalData2_1</vt:lpstr>
      <vt:lpstr>'Yahoo Share Data'!ExternalData20</vt:lpstr>
      <vt:lpstr>Sheet1!ExternalData20_1</vt:lpstr>
      <vt:lpstr>'Yahoo Share Data'!ExternalData206</vt:lpstr>
      <vt:lpstr>Sheet1!ExternalData206_1</vt:lpstr>
      <vt:lpstr>'Yahoo Share Data'!ExternalData21</vt:lpstr>
      <vt:lpstr>Sheet1!ExternalData21_1</vt:lpstr>
      <vt:lpstr>'Yahoo Share Data'!ExternalData22</vt:lpstr>
      <vt:lpstr>Sheet1!ExternalData22_1</vt:lpstr>
      <vt:lpstr>'Yahoo Share Data'!ExternalData228</vt:lpstr>
      <vt:lpstr>Sheet1!ExternalData228_1</vt:lpstr>
      <vt:lpstr>'Yahoo Share Data'!ExternalData229</vt:lpstr>
      <vt:lpstr>Sheet1!ExternalData229_1</vt:lpstr>
      <vt:lpstr>'Yahoo Share Data'!ExternalData23</vt:lpstr>
      <vt:lpstr>Sheet1!ExternalData23_1</vt:lpstr>
      <vt:lpstr>'Yahoo Share Data'!ExternalData230</vt:lpstr>
      <vt:lpstr>Sheet1!ExternalData230_1</vt:lpstr>
      <vt:lpstr>'Yahoo Share Data'!ExternalData231</vt:lpstr>
      <vt:lpstr>Sheet1!ExternalData231_1</vt:lpstr>
      <vt:lpstr>'Yahoo Share Data'!ExternalData232</vt:lpstr>
      <vt:lpstr>Sheet1!ExternalData232_1</vt:lpstr>
      <vt:lpstr>'Yahoo Share Data'!ExternalData233</vt:lpstr>
      <vt:lpstr>Sheet1!ExternalData233_1</vt:lpstr>
      <vt:lpstr>'Yahoo Share Data'!ExternalData234</vt:lpstr>
      <vt:lpstr>Sheet1!ExternalData234_1</vt:lpstr>
      <vt:lpstr>'Yahoo Share Data'!ExternalData235</vt:lpstr>
      <vt:lpstr>Sheet1!ExternalData235_1</vt:lpstr>
      <vt:lpstr>'Yahoo Share Data'!ExternalData236</vt:lpstr>
      <vt:lpstr>Sheet1!ExternalData236_1</vt:lpstr>
      <vt:lpstr>'Yahoo Share Data'!ExternalData237</vt:lpstr>
      <vt:lpstr>Sheet1!ExternalData237_1</vt:lpstr>
      <vt:lpstr>'Yahoo Share Data'!ExternalData238</vt:lpstr>
      <vt:lpstr>Sheet1!ExternalData238_1</vt:lpstr>
      <vt:lpstr>'Yahoo Share Data'!ExternalData239</vt:lpstr>
      <vt:lpstr>Sheet1!ExternalData239_1</vt:lpstr>
      <vt:lpstr>'Yahoo Share Data'!ExternalData24</vt:lpstr>
      <vt:lpstr>Sheet1!ExternalData24_1</vt:lpstr>
      <vt:lpstr>'Yahoo Share Data'!ExternalData240</vt:lpstr>
      <vt:lpstr>Sheet1!ExternalData240_1</vt:lpstr>
      <vt:lpstr>'Yahoo Share Data'!ExternalData241</vt:lpstr>
      <vt:lpstr>Sheet1!ExternalData241_1</vt:lpstr>
      <vt:lpstr>'Yahoo Share Data'!ExternalData242</vt:lpstr>
      <vt:lpstr>Sheet1!ExternalData242_1</vt:lpstr>
      <vt:lpstr>'Yahoo Share Data'!ExternalData243</vt:lpstr>
      <vt:lpstr>Sheet1!ExternalData243_1</vt:lpstr>
      <vt:lpstr>'Yahoo Share Data'!ExternalData244</vt:lpstr>
      <vt:lpstr>Sheet1!ExternalData244_1</vt:lpstr>
      <vt:lpstr>'Yahoo Share Data'!ExternalData245</vt:lpstr>
      <vt:lpstr>Sheet1!ExternalData245_1</vt:lpstr>
      <vt:lpstr>'Yahoo Share Data'!ExternalData246</vt:lpstr>
      <vt:lpstr>Sheet1!ExternalData246_1</vt:lpstr>
      <vt:lpstr>'Yahoo Share Data'!ExternalData247</vt:lpstr>
      <vt:lpstr>Sheet1!ExternalData247_1</vt:lpstr>
      <vt:lpstr>'Yahoo Share Data'!ExternalData248</vt:lpstr>
      <vt:lpstr>Sheet1!ExternalData248_1</vt:lpstr>
      <vt:lpstr>'Yahoo Share Data'!ExternalData249</vt:lpstr>
      <vt:lpstr>Sheet1!ExternalData249_1</vt:lpstr>
      <vt:lpstr>'Yahoo Share Data'!ExternalData25</vt:lpstr>
      <vt:lpstr>Sheet1!ExternalData25_1</vt:lpstr>
      <vt:lpstr>'Yahoo Share Data'!ExternalData250</vt:lpstr>
      <vt:lpstr>Sheet1!ExternalData250_1</vt:lpstr>
      <vt:lpstr>'Yahoo Share Data'!ExternalData251</vt:lpstr>
      <vt:lpstr>Sheet1!ExternalData251_1</vt:lpstr>
      <vt:lpstr>'Yahoo Share Data'!ExternalData252</vt:lpstr>
      <vt:lpstr>Sheet1!ExternalData252_1</vt:lpstr>
      <vt:lpstr>'Yahoo Share Data'!ExternalData253</vt:lpstr>
      <vt:lpstr>Sheet1!ExternalData253_1</vt:lpstr>
      <vt:lpstr>'Yahoo Share Data'!ExternalData254</vt:lpstr>
      <vt:lpstr>Sheet1!ExternalData254_1</vt:lpstr>
      <vt:lpstr>'Yahoo Share Data'!ExternalData255</vt:lpstr>
      <vt:lpstr>Sheet1!ExternalData255_1</vt:lpstr>
      <vt:lpstr>'Yahoo Share Data'!ExternalData256</vt:lpstr>
      <vt:lpstr>Sheet1!ExternalData256_1</vt:lpstr>
      <vt:lpstr>'Yahoo Share Data'!ExternalData257</vt:lpstr>
      <vt:lpstr>Sheet1!ExternalData257_1</vt:lpstr>
      <vt:lpstr>'Yahoo Share Data'!ExternalData258</vt:lpstr>
      <vt:lpstr>Sheet1!ExternalData258_1</vt:lpstr>
      <vt:lpstr>'Yahoo Share Data'!ExternalData259</vt:lpstr>
      <vt:lpstr>Sheet1!ExternalData259_1</vt:lpstr>
      <vt:lpstr>'Yahoo Share Data'!ExternalData26</vt:lpstr>
      <vt:lpstr>Sheet1!ExternalData26_1</vt:lpstr>
      <vt:lpstr>'Yahoo Share Data'!ExternalData260</vt:lpstr>
      <vt:lpstr>Sheet1!ExternalData260_1</vt:lpstr>
      <vt:lpstr>'Yahoo Share Data'!ExternalData261</vt:lpstr>
      <vt:lpstr>Sheet1!ExternalData261_1</vt:lpstr>
      <vt:lpstr>'Yahoo Share Data'!ExternalData262</vt:lpstr>
      <vt:lpstr>Sheet1!ExternalData262_1</vt:lpstr>
      <vt:lpstr>'Yahoo Share Data'!ExternalData263</vt:lpstr>
      <vt:lpstr>Sheet1!ExternalData263_1</vt:lpstr>
      <vt:lpstr>'Yahoo Share Data'!ExternalData264</vt:lpstr>
      <vt:lpstr>Sheet1!ExternalData264_1</vt:lpstr>
      <vt:lpstr>'Yahoo Share Data'!ExternalData265</vt:lpstr>
      <vt:lpstr>Sheet1!ExternalData265_1</vt:lpstr>
      <vt:lpstr>'Yahoo Share Data'!ExternalData266</vt:lpstr>
      <vt:lpstr>Sheet1!ExternalData266_1</vt:lpstr>
      <vt:lpstr>'Yahoo Share Data'!ExternalData267</vt:lpstr>
      <vt:lpstr>Sheet1!ExternalData267_1</vt:lpstr>
      <vt:lpstr>'Yahoo Share Data'!ExternalData268</vt:lpstr>
      <vt:lpstr>Sheet1!ExternalData268_1</vt:lpstr>
      <vt:lpstr>'Yahoo Share Data'!ExternalData269</vt:lpstr>
      <vt:lpstr>Sheet1!ExternalData269_1</vt:lpstr>
      <vt:lpstr>'Yahoo Share Data'!ExternalData27</vt:lpstr>
      <vt:lpstr>Sheet1!ExternalData27_1</vt:lpstr>
      <vt:lpstr>'Yahoo Share Data'!ExternalData270</vt:lpstr>
      <vt:lpstr>Sheet1!ExternalData270_1</vt:lpstr>
      <vt:lpstr>'Yahoo Share Data'!ExternalData271</vt:lpstr>
      <vt:lpstr>Sheet1!ExternalData271_1</vt:lpstr>
      <vt:lpstr>'Yahoo Share Data'!ExternalData272</vt:lpstr>
      <vt:lpstr>Sheet1!ExternalData272_1</vt:lpstr>
      <vt:lpstr>'Yahoo Share Data'!ExternalData273</vt:lpstr>
      <vt:lpstr>Sheet1!ExternalData273_1</vt:lpstr>
      <vt:lpstr>'Yahoo Share Data'!ExternalData274</vt:lpstr>
      <vt:lpstr>Sheet1!ExternalData274_1</vt:lpstr>
      <vt:lpstr>'Yahoo Share Data'!ExternalData275</vt:lpstr>
      <vt:lpstr>Sheet1!ExternalData275_1</vt:lpstr>
      <vt:lpstr>'Yahoo Share Data'!ExternalData276</vt:lpstr>
      <vt:lpstr>Sheet1!ExternalData276_1</vt:lpstr>
      <vt:lpstr>'Yahoo Share Data'!ExternalData277</vt:lpstr>
      <vt:lpstr>Sheet1!ExternalData277_1</vt:lpstr>
      <vt:lpstr>'Yahoo Share Data'!ExternalData278</vt:lpstr>
      <vt:lpstr>Sheet1!ExternalData278_1</vt:lpstr>
      <vt:lpstr>'Yahoo Share Data'!ExternalData279</vt:lpstr>
      <vt:lpstr>Sheet1!ExternalData279_1</vt:lpstr>
      <vt:lpstr>'Yahoo Share Data'!ExternalData28</vt:lpstr>
      <vt:lpstr>Sheet1!ExternalData28_1</vt:lpstr>
      <vt:lpstr>'Yahoo Share Data'!ExternalData280</vt:lpstr>
      <vt:lpstr>Sheet1!ExternalData280_1</vt:lpstr>
      <vt:lpstr>'Yahoo Share Data'!ExternalData281</vt:lpstr>
      <vt:lpstr>Sheet1!ExternalData281_1</vt:lpstr>
      <vt:lpstr>'Yahoo Share Data'!ExternalData282</vt:lpstr>
      <vt:lpstr>Sheet1!ExternalData282_1</vt:lpstr>
      <vt:lpstr>'Yahoo Share Data'!ExternalData283</vt:lpstr>
      <vt:lpstr>Sheet1!ExternalData283_1</vt:lpstr>
      <vt:lpstr>'Yahoo Share Data'!ExternalData284</vt:lpstr>
      <vt:lpstr>Sheet1!ExternalData284_1</vt:lpstr>
      <vt:lpstr>'Yahoo Share Data'!ExternalData285</vt:lpstr>
      <vt:lpstr>Sheet1!ExternalData285_1</vt:lpstr>
      <vt:lpstr>'Yahoo Share Data'!ExternalData286</vt:lpstr>
      <vt:lpstr>Sheet1!ExternalData286_1</vt:lpstr>
      <vt:lpstr>'Yahoo Share Data'!ExternalData287</vt:lpstr>
      <vt:lpstr>Sheet1!ExternalData287_1</vt:lpstr>
      <vt:lpstr>'Yahoo Share Data'!ExternalData29</vt:lpstr>
      <vt:lpstr>Sheet1!ExternalData29_1</vt:lpstr>
      <vt:lpstr>'Yahoo Share Data'!ExternalData3</vt:lpstr>
      <vt:lpstr>Sheet1!ExternalData3_1</vt:lpstr>
      <vt:lpstr>'Yahoo Share Data'!ExternalData31</vt:lpstr>
      <vt:lpstr>Sheet1!ExternalData31_1</vt:lpstr>
      <vt:lpstr>'Yahoo Share Data'!ExternalData32</vt:lpstr>
      <vt:lpstr>Sheet1!ExternalData32_1</vt:lpstr>
      <vt:lpstr>'Yahoo Share Data'!ExternalData33</vt:lpstr>
      <vt:lpstr>Sheet1!ExternalData33_1</vt:lpstr>
      <vt:lpstr>'Yahoo Share Data'!ExternalData34</vt:lpstr>
      <vt:lpstr>Sheet1!ExternalData34_1</vt:lpstr>
      <vt:lpstr>'Yahoo Share Data'!ExternalData35</vt:lpstr>
      <vt:lpstr>Sheet1!ExternalData35_1</vt:lpstr>
      <vt:lpstr>'Yahoo Share Data'!ExternalData36</vt:lpstr>
      <vt:lpstr>Sheet1!ExternalData36_1</vt:lpstr>
      <vt:lpstr>'Yahoo Share Data'!ExternalData37</vt:lpstr>
      <vt:lpstr>Sheet1!ExternalData37_1</vt:lpstr>
      <vt:lpstr>'Yahoo Share Data'!ExternalData38</vt:lpstr>
      <vt:lpstr>Sheet1!ExternalData38_1</vt:lpstr>
      <vt:lpstr>'Yahoo Share Data'!ExternalData39</vt:lpstr>
      <vt:lpstr>Sheet1!ExternalData39_1</vt:lpstr>
      <vt:lpstr>'Yahoo Share Data'!ExternalData4</vt:lpstr>
      <vt:lpstr>Sheet1!ExternalData4_1</vt:lpstr>
      <vt:lpstr>'Yahoo Share Data'!ExternalData40</vt:lpstr>
      <vt:lpstr>Sheet1!ExternalData40_1</vt:lpstr>
      <vt:lpstr>'Yahoo Share Data'!ExternalData41</vt:lpstr>
      <vt:lpstr>Sheet1!ExternalData41_1</vt:lpstr>
      <vt:lpstr>'Yahoo Share Data'!ExternalData42</vt:lpstr>
      <vt:lpstr>Sheet1!ExternalData42_1</vt:lpstr>
      <vt:lpstr>'Yahoo Share Data'!ExternalData43</vt:lpstr>
      <vt:lpstr>Sheet1!ExternalData43_1</vt:lpstr>
      <vt:lpstr>'Yahoo Share Data'!ExternalData44</vt:lpstr>
      <vt:lpstr>Sheet1!ExternalData44_1</vt:lpstr>
      <vt:lpstr>'Yahoo Share Data'!ExternalData45</vt:lpstr>
      <vt:lpstr>Sheet1!ExternalData45_1</vt:lpstr>
      <vt:lpstr>'Yahoo Share Data'!ExternalData46</vt:lpstr>
      <vt:lpstr>Sheet1!ExternalData46_1</vt:lpstr>
      <vt:lpstr>'Yahoo Share Data'!ExternalData47</vt:lpstr>
      <vt:lpstr>Sheet1!ExternalData47_1</vt:lpstr>
      <vt:lpstr>'Yahoo Share Data'!ExternalData48</vt:lpstr>
      <vt:lpstr>Sheet1!ExternalData48_1</vt:lpstr>
      <vt:lpstr>'Yahoo Share Data'!ExternalData49</vt:lpstr>
      <vt:lpstr>Sheet1!ExternalData49_1</vt:lpstr>
      <vt:lpstr>'Yahoo Share Data'!ExternalData5</vt:lpstr>
      <vt:lpstr>Sheet1!ExternalData5_1</vt:lpstr>
      <vt:lpstr>'Yahoo Share Data'!ExternalData50</vt:lpstr>
      <vt:lpstr>Sheet1!ExternalData50_1</vt:lpstr>
      <vt:lpstr>'Yahoo Share Data'!ExternalData51</vt:lpstr>
      <vt:lpstr>Sheet1!ExternalData51_1</vt:lpstr>
      <vt:lpstr>'Yahoo Share Data'!ExternalData52</vt:lpstr>
      <vt:lpstr>Sheet1!ExternalData52_1</vt:lpstr>
      <vt:lpstr>'Yahoo Share Data'!ExternalData53</vt:lpstr>
      <vt:lpstr>Sheet1!ExternalData53_1</vt:lpstr>
      <vt:lpstr>'Yahoo Share Data'!ExternalData54</vt:lpstr>
      <vt:lpstr>Sheet1!ExternalData54_1</vt:lpstr>
      <vt:lpstr>'Yahoo Share Data'!ExternalData55</vt:lpstr>
      <vt:lpstr>Sheet1!ExternalData55_1</vt:lpstr>
      <vt:lpstr>'Yahoo Share Data'!ExternalData56</vt:lpstr>
      <vt:lpstr>Sheet1!ExternalData56_1</vt:lpstr>
      <vt:lpstr>'Yahoo Share Data'!ExternalData57</vt:lpstr>
      <vt:lpstr>Sheet1!ExternalData57_1</vt:lpstr>
      <vt:lpstr>'Yahoo Share Data'!ExternalData58</vt:lpstr>
      <vt:lpstr>Sheet1!ExternalData58_1</vt:lpstr>
      <vt:lpstr>'Yahoo Share Data'!ExternalData59</vt:lpstr>
      <vt:lpstr>Sheet1!ExternalData59_1</vt:lpstr>
      <vt:lpstr>'Yahoo Share Data'!ExternalData6</vt:lpstr>
      <vt:lpstr>Sheet1!ExternalData6_1</vt:lpstr>
      <vt:lpstr>'Yahoo Share Data'!ExternalData60</vt:lpstr>
      <vt:lpstr>Sheet1!ExternalData60_1</vt:lpstr>
      <vt:lpstr>'Yahoo Share Data'!ExternalData61</vt:lpstr>
      <vt:lpstr>Sheet1!ExternalData61_1</vt:lpstr>
      <vt:lpstr>'Yahoo Share Data'!ExternalData62</vt:lpstr>
      <vt:lpstr>Sheet1!ExternalData62_1</vt:lpstr>
      <vt:lpstr>'Yahoo Share Data'!ExternalData63</vt:lpstr>
      <vt:lpstr>Sheet1!ExternalData63_1</vt:lpstr>
      <vt:lpstr>'Yahoo Share Data'!ExternalData64</vt:lpstr>
      <vt:lpstr>Sheet1!ExternalData64_1</vt:lpstr>
      <vt:lpstr>'Yahoo Share Data'!ExternalData65</vt:lpstr>
      <vt:lpstr>Sheet1!ExternalData65_1</vt:lpstr>
      <vt:lpstr>'Yahoo Share Data'!ExternalData66</vt:lpstr>
      <vt:lpstr>Sheet1!ExternalData66_1</vt:lpstr>
      <vt:lpstr>'Yahoo Share Data'!ExternalData67</vt:lpstr>
      <vt:lpstr>Sheet1!ExternalData67_1</vt:lpstr>
      <vt:lpstr>'Yahoo Share Data'!ExternalData68</vt:lpstr>
      <vt:lpstr>Sheet1!ExternalData68_1</vt:lpstr>
      <vt:lpstr>'Yahoo Share Data'!ExternalData69</vt:lpstr>
      <vt:lpstr>Sheet1!ExternalData69_1</vt:lpstr>
      <vt:lpstr>'Yahoo Share Data'!ExternalData7</vt:lpstr>
      <vt:lpstr>Sheet1!ExternalData7_1</vt:lpstr>
      <vt:lpstr>'Yahoo Share Data'!ExternalData70</vt:lpstr>
      <vt:lpstr>Sheet1!ExternalData70_1</vt:lpstr>
      <vt:lpstr>'Yahoo Share Data'!ExternalData71</vt:lpstr>
      <vt:lpstr>Sheet1!ExternalData71_1</vt:lpstr>
      <vt:lpstr>'Yahoo Share Data'!ExternalData72</vt:lpstr>
      <vt:lpstr>Sheet1!ExternalData72_1</vt:lpstr>
      <vt:lpstr>'Yahoo Share Data'!ExternalData8</vt:lpstr>
      <vt:lpstr>Sheet1!ExternalData8_1</vt:lpstr>
      <vt:lpstr>'Yahoo Share Data'!ExternalData9</vt:lpstr>
      <vt:lpstr>Sheet1!ExternalData9_1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2003-07-08T12:19:58Z</dcterms:created>
  <dcterms:modified xsi:type="dcterms:W3CDTF">2016-11-15T01:46:42Z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b1e9fda5-6a52-4128-b966-2f3fcc5e10a5</vt:lpwstr>
  </property>
</Properties>
</file>